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Anleitung" sheetId="1" state="visible" r:id="rId1"/>
    <sheet name="10_Material_Zerspanung" sheetId="2" state="visible" r:id="rId2"/>
    <sheet name="11_Material_Blech" sheetId="3" state="visible" r:id="rId3"/>
    <sheet name="20_Maschinen_Stundensaetze" sheetId="4" state="visible" r:id="rId4"/>
    <sheet name="21_Ruestzeiten" sheetId="5" state="visible" r:id="rId5"/>
    <sheet name="30_Zerspanung_MRR" sheetId="6" state="visible" r:id="rId6"/>
    <sheet name="40_Laser_Schnittwerte" sheetId="7" state="visible" r:id="rId7"/>
    <sheet name="41_Biegen" sheetId="8" state="visible" r:id="rId8"/>
    <sheet name="50_Custom_Operationen" sheetId="9" state="visible" r:id="rId9"/>
    <sheet name="60_Aufschlae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#,##0.0"/>
    <numFmt numFmtId="166" formatCode="#,##0.000 &quot;€&quot;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165" fontId="4" fillId="0" borderId="1" pivotButton="0" quotePrefix="0" xfId="0"/>
    <xf numFmtId="4" fontId="2" fillId="0" borderId="1" pivotButton="0" quotePrefix="0" xfId="0"/>
    <xf numFmtId="164" fontId="4" fillId="2" borderId="1" pivotButton="0" quotePrefix="0" xfId="0"/>
    <xf numFmtId="166" fontId="2" fillId="0" borderId="1" pivotButton="0" quotePrefix="0" xfId="0"/>
    <xf numFmtId="3" fontId="4" fillId="2" borderId="1" pivotButton="0" quotePrefix="0" xfId="0"/>
    <xf numFmtId="0" fontId="5" fillId="0" borderId="1" applyAlignment="1" pivotButton="0" quotePrefix="0" xfId="0">
      <alignment horizontal="center"/>
    </xf>
    <xf numFmtId="4" fontId="4" fillId="0" borderId="1" pivotButton="0" quotePrefix="0" xfId="0"/>
    <xf numFmtId="167" fontId="4" fillId="2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SOLIDWORKS Costing – Startwerte Deutschland 2026</t>
        </is>
      </c>
      <c r="B1" s="2" t="inlineStr"/>
    </row>
    <row r="2">
      <c r="A2" s="3" t="inlineStr"/>
      <c r="B2" s="2" t="inlineStr"/>
    </row>
    <row r="3">
      <c r="A3" s="3" t="inlineStr">
        <is>
          <t>Zweck</t>
        </is>
      </c>
      <c r="B3" s="2" t="inlineStr">
        <is>
          <t>Startdatensatz zum Befüllen leerer Costing-Vorlagen (.sldctm / .sldcts / .sldctc). Alle Werte sind marktübliche Richtwerte und müssen an eure Kostenstellenrechnung angeglichen werden.</t>
        </is>
      </c>
    </row>
    <row r="4">
      <c r="A4" s="3" t="inlineStr">
        <is>
          <t>So einspielen</t>
        </is>
      </c>
      <c r="B4" s="2" t="inlineStr">
        <is>
          <t>1) Costing-Vorlagen-Editor öffnen  2) Vorlage &gt; 'Export nach Excel'  3) Werte aus dieser Mappe in die exportierte Datei übertragen (Spalten zuordnen)  4) 'Import' zurück in die Vorlage  5) speichern und mit Referenzteilen kalibrieren.</t>
        </is>
      </c>
    </row>
    <row r="5">
      <c r="A5" s="3" t="inlineStr">
        <is>
          <t>Wichtig</t>
        </is>
      </c>
      <c r="B5" s="2" t="inlineStr">
        <is>
          <t>Diese Datei ist NICHT direkt importierbar – SOLIDWORKS erwartet seine eigene Spaltenstruktur, die sich je Version und Sprachstand unterscheidet. Immer erst exportieren, dann füllen.</t>
        </is>
      </c>
    </row>
    <row r="6">
      <c r="A6" s="3" t="inlineStr">
        <is>
          <t>Was nicht per Excel geht</t>
        </is>
      </c>
      <c r="B6" s="2" t="inlineStr">
        <is>
          <t>Maschinenstundensätze, Rüstzeiten und benutzerdefinierte Operationen werden im Vorlagen-Editor eingetragen (Blätter 20, 21, 50 dieser Mappe).</t>
        </is>
      </c>
    </row>
    <row r="7">
      <c r="A7" s="3" t="inlineStr"/>
      <c r="B7" s="2" t="inlineStr"/>
    </row>
    <row r="8">
      <c r="A8" s="3" t="inlineStr">
        <is>
          <t>LEGENDE</t>
        </is>
      </c>
      <c r="B8" s="2" t="inlineStr"/>
    </row>
    <row r="9">
      <c r="A9" s="4" t="inlineStr">
        <is>
          <t>blaue Zahl</t>
        </is>
      </c>
      <c r="B9" s="2" t="inlineStr">
        <is>
          <t>Eingabewert – hier anpassen</t>
        </is>
      </c>
    </row>
    <row r="10">
      <c r="A10" s="5" t="inlineStr">
        <is>
          <t>schwarze Zahl</t>
        </is>
      </c>
      <c r="B10" s="2" t="inlineStr">
        <is>
          <t>Formel – nicht überschreiben</t>
        </is>
      </c>
    </row>
    <row r="11">
      <c r="A11" s="6" t="inlineStr">
        <is>
          <t>gelbe Zelle</t>
        </is>
      </c>
      <c r="B11" s="2" t="inlineStr">
        <is>
          <t>zentrale Annahme, die viele Ergebnisse beeinflusst</t>
        </is>
      </c>
    </row>
    <row r="12">
      <c r="A12" s="3" t="inlineStr">
        <is>
          <t>Hinweis zu Formeln</t>
        </is>
      </c>
      <c r="B12" s="2" t="inlineStr">
        <is>
          <t>Die berechneten Spalten (schwarz) werden beim ersten Öffnen in Excel automatisch berechnet; in Vorschau-Tools können sie vorher leer erscheinen.</t>
        </is>
      </c>
    </row>
    <row r="13">
      <c r="A13" s="3" t="inlineStr"/>
      <c r="B13" s="2" t="inlineStr"/>
    </row>
    <row r="14">
      <c r="A14" s="3" t="inlineStr">
        <is>
          <t>BLÄTTER</t>
        </is>
      </c>
      <c r="B14" s="2" t="inlineStr"/>
    </row>
    <row r="15">
      <c r="A15" s="3" t="inlineStr">
        <is>
          <t>10_Material_Zerspanung</t>
        </is>
      </c>
      <c r="B15" s="2" t="inlineStr">
        <is>
          <t>Werkstoffe, Preis pro kg, Dichte, Schrotterlös – für die Zerspanungsvorlage</t>
        </is>
      </c>
    </row>
    <row r="16">
      <c r="A16" s="3" t="inlineStr">
        <is>
          <t>11_Material_Blech</t>
        </is>
      </c>
      <c r="B16" s="2" t="inlineStr">
        <is>
          <t>Werkstoff × Blechdicke, Tafelformate, Tafelpreise – für die Blechvorlage</t>
        </is>
      </c>
    </row>
    <row r="17">
      <c r="A17" s="3" t="inlineStr">
        <is>
          <t>20_Maschinen_Stundensaetze</t>
        </is>
      </c>
      <c r="B17" s="2" t="inlineStr">
        <is>
          <t>Stundensätze je Verfahren, Basis für alle abgeleiteten Kosten</t>
        </is>
      </c>
    </row>
    <row r="18">
      <c r="A18" s="3" t="inlineStr">
        <is>
          <t>21_Ruestzeiten</t>
        </is>
      </c>
      <c r="B18" s="2" t="inlineStr">
        <is>
          <t>Rüstzeiten je Los und daraus berechnete Rüstkosten</t>
        </is>
      </c>
    </row>
    <row r="19">
      <c r="A19" s="3" t="inlineStr">
        <is>
          <t>30_Zerspanung_MRR</t>
        </is>
      </c>
      <c r="B19" s="2" t="inlineStr">
        <is>
          <t>Zeitspanvolumen und Bohrvorschübe je Materialklasse</t>
        </is>
      </c>
    </row>
    <row r="20">
      <c r="A20" s="3" t="inlineStr">
        <is>
          <t>40_Laser_Schnittwerte</t>
        </is>
      </c>
      <c r="B20" s="2" t="inlineStr">
        <is>
          <t>Schnittgeschwindigkeiten, Einstechzeiten, Schnittkosten je Meter</t>
        </is>
      </c>
    </row>
    <row r="21">
      <c r="A21" s="3" t="inlineStr">
        <is>
          <t>41_Biegen</t>
        </is>
      </c>
      <c r="B21" s="2" t="inlineStr">
        <is>
          <t>Biegezeiten und Kosten je Biegung</t>
        </is>
      </c>
    </row>
    <row r="22">
      <c r="A22" s="3" t="inlineStr">
        <is>
          <t>50_Custom_Operationen</t>
        </is>
      </c>
      <c r="B22" s="2" t="inlineStr">
        <is>
          <t>Oberfläche, Prüfung, Verpackung – Register 'Benutzerdefiniert'</t>
        </is>
      </c>
    </row>
    <row r="23">
      <c r="A23" s="3" t="inlineStr">
        <is>
          <t>60_Aufschlaege</t>
        </is>
      </c>
      <c r="B23" s="2" t="inlineStr">
        <is>
          <t>Ausschuss, Gemeinkosten, Gewinn</t>
        </is>
      </c>
    </row>
    <row r="24">
      <c r="A24" s="3" t="inlineStr"/>
      <c r="B24" s="2" t="inlineStr"/>
    </row>
    <row r="25">
      <c r="A25" s="3" t="inlineStr">
        <is>
          <t>Stand</t>
        </is>
      </c>
      <c r="B25" s="2" t="inlineStr">
        <is>
          <t>August 2026</t>
        </is>
      </c>
    </row>
    <row r="26">
      <c r="A26" s="3" t="inlineStr">
        <is>
          <t>Quellen</t>
        </is>
      </c>
      <c r="B26" s="2" t="inlineStr">
        <is>
          <t>siehe README.md im selben Ordner (Kapitel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46" customWidth="1" min="9" max="9"/>
  </cols>
  <sheetData>
    <row r="1">
      <c r="A1" s="1" t="inlineStr">
        <is>
          <t>Materialdaten für die Zerspanungsvorlage (.sldctm)</t>
        </is>
      </c>
    </row>
    <row r="2">
      <c r="A2" s="7" t="inlineStr">
        <is>
          <t>Preise = Handelsware, Klein-/Mittelmengen inkl. Zuschnittaufschlag, Stand 2026. Werkstoffname muss exakt dem Namen in eurer SOLIDWORKS-Werkstoffdatenbank entsprechen.</t>
        </is>
      </c>
    </row>
    <row r="4" ht="30" customHeight="1">
      <c r="A4" s="8" t="inlineStr">
        <is>
          <t>Materialklasse</t>
        </is>
      </c>
      <c r="B4" s="8" t="inlineStr">
        <is>
          <t>Werkstoff (Name in SOLIDWORKS)</t>
        </is>
      </c>
      <c r="C4" s="8" t="inlineStr">
        <is>
          <t>Dichte [kg/m³]</t>
        </is>
      </c>
      <c r="D4" s="8" t="inlineStr">
        <is>
          <t>Preis min [€/kg]</t>
        </is>
      </c>
      <c r="E4" s="8" t="inlineStr">
        <is>
          <t>Preis max [€/kg]</t>
        </is>
      </c>
      <c r="F4" s="8" t="inlineStr">
        <is>
          <t>Startwert [€/kg]</t>
        </is>
      </c>
      <c r="G4" s="8" t="inlineStr">
        <is>
          <t>Schrotterlös [€/kg]</t>
        </is>
      </c>
      <c r="H4" s="8" t="inlineStr">
        <is>
          <t>Preis je dm³ [€]</t>
        </is>
      </c>
      <c r="I4" s="8" t="inlineStr">
        <is>
          <t>Bemerkung</t>
        </is>
      </c>
    </row>
    <row r="5">
      <c r="A5" s="9" t="inlineStr">
        <is>
          <t>Stahl</t>
        </is>
      </c>
      <c r="B5" s="9" t="inlineStr">
        <is>
          <t>S235JR</t>
        </is>
      </c>
      <c r="C5" s="10" t="n">
        <v>7850</v>
      </c>
      <c r="D5" s="11" t="n">
        <v>1.4</v>
      </c>
      <c r="E5" s="11" t="n">
        <v>1.9</v>
      </c>
      <c r="F5" s="11" t="n">
        <v>1.65</v>
      </c>
      <c r="G5" s="11" t="n">
        <v>0.15</v>
      </c>
      <c r="H5" s="12">
        <f>C5*F5/1000</f>
        <v/>
      </c>
      <c r="I5" s="13" t="inlineStr">
        <is>
          <t>Standard-Baustahl, Flach/Blech</t>
        </is>
      </c>
    </row>
    <row r="6">
      <c r="A6" s="9" t="inlineStr">
        <is>
          <t>Stahl</t>
        </is>
      </c>
      <c r="B6" s="9" t="inlineStr">
        <is>
          <t>S355J2</t>
        </is>
      </c>
      <c r="C6" s="10" t="n">
        <v>7850</v>
      </c>
      <c r="D6" s="11" t="n">
        <v>1.6</v>
      </c>
      <c r="E6" s="11" t="n">
        <v>2.1</v>
      </c>
      <c r="F6" s="11" t="n">
        <v>1.8</v>
      </c>
      <c r="G6" s="11" t="n">
        <v>0.15</v>
      </c>
      <c r="H6" s="12">
        <f>C6*F6/1000</f>
        <v/>
      </c>
      <c r="I6" s="13" t="inlineStr">
        <is>
          <t>höherfest, Schweißkonstruktionen</t>
        </is>
      </c>
    </row>
    <row r="7">
      <c r="A7" s="9" t="inlineStr">
        <is>
          <t>Stahl</t>
        </is>
      </c>
      <c r="B7" s="9" t="inlineStr">
        <is>
          <t>DC01</t>
        </is>
      </c>
      <c r="C7" s="10" t="n">
        <v>7850</v>
      </c>
      <c r="D7" s="11" t="n">
        <v>1.5</v>
      </c>
      <c r="E7" s="11" t="n">
        <v>2</v>
      </c>
      <c r="F7" s="11" t="n">
        <v>1.75</v>
      </c>
      <c r="G7" s="11" t="n">
        <v>0.15</v>
      </c>
      <c r="H7" s="12">
        <f>C7*F7/1000</f>
        <v/>
      </c>
      <c r="I7" s="13" t="inlineStr">
        <is>
          <t>kaltgewalzt, Feinblech</t>
        </is>
      </c>
    </row>
    <row r="8">
      <c r="A8" s="9" t="inlineStr">
        <is>
          <t>Stahl</t>
        </is>
      </c>
      <c r="B8" s="9" t="inlineStr">
        <is>
          <t>DX51D+Z (verzinkt)</t>
        </is>
      </c>
      <c r="C8" s="10" t="n">
        <v>7850</v>
      </c>
      <c r="D8" s="11" t="n">
        <v>1.6</v>
      </c>
      <c r="E8" s="11" t="n">
        <v>2.2</v>
      </c>
      <c r="F8" s="11" t="n">
        <v>1.9</v>
      </c>
      <c r="G8" s="11" t="n">
        <v>0.12</v>
      </c>
      <c r="H8" s="12">
        <f>C8*F8/1000</f>
        <v/>
      </c>
      <c r="I8" s="13" t="inlineStr">
        <is>
          <t>Zinkauflage im Preis enthalten</t>
        </is>
      </c>
    </row>
    <row r="9">
      <c r="A9" s="9" t="inlineStr">
        <is>
          <t>Stahl</t>
        </is>
      </c>
      <c r="B9" s="9" t="inlineStr">
        <is>
          <t>C45 / 1.0503</t>
        </is>
      </c>
      <c r="C9" s="10" t="n">
        <v>7850</v>
      </c>
      <c r="D9" s="11" t="n">
        <v>1.7</v>
      </c>
      <c r="E9" s="11" t="n">
        <v>2.3</v>
      </c>
      <c r="F9" s="11" t="n">
        <v>1.95</v>
      </c>
      <c r="G9" s="11" t="n">
        <v>0.15</v>
      </c>
      <c r="H9" s="12">
        <f>C9*F9/1000</f>
        <v/>
      </c>
      <c r="I9" s="13" t="inlineStr">
        <is>
          <t>Wellen, Drehteile</t>
        </is>
      </c>
    </row>
    <row r="10">
      <c r="A10" s="9" t="inlineStr">
        <is>
          <t>Stahl</t>
        </is>
      </c>
      <c r="B10" s="9" t="inlineStr">
        <is>
          <t>11SMn30 (Automatenstahl)</t>
        </is>
      </c>
      <c r="C10" s="10" t="n">
        <v>7850</v>
      </c>
      <c r="D10" s="11" t="n">
        <v>1.9</v>
      </c>
      <c r="E10" s="11" t="n">
        <v>2.6</v>
      </c>
      <c r="F10" s="11" t="n">
        <v>2.2</v>
      </c>
      <c r="G10" s="11" t="n">
        <v>0.15</v>
      </c>
      <c r="H10" s="12">
        <f>C10*F10/1000</f>
        <v/>
      </c>
      <c r="I10" s="13" t="inlineStr">
        <is>
          <t>gute Zerspanbarkeit</t>
        </is>
      </c>
    </row>
    <row r="11">
      <c r="A11" s="9" t="inlineStr">
        <is>
          <t>Stahl</t>
        </is>
      </c>
      <c r="B11" s="9" t="inlineStr">
        <is>
          <t>42CrMo4</t>
        </is>
      </c>
      <c r="C11" s="10" t="n">
        <v>7850</v>
      </c>
      <c r="D11" s="11" t="n">
        <v>2.2</v>
      </c>
      <c r="E11" s="11" t="n">
        <v>3</v>
      </c>
      <c r="F11" s="11" t="n">
        <v>2.5</v>
      </c>
      <c r="G11" s="11" t="n">
        <v>0.15</v>
      </c>
      <c r="H11" s="12">
        <f>C11*F11/1000</f>
        <v/>
      </c>
      <c r="I11" s="13" t="inlineStr">
        <is>
          <t>vergütet, Rundmaterial</t>
        </is>
      </c>
    </row>
    <row r="12">
      <c r="A12" s="9" t="inlineStr">
        <is>
          <t>Stahl</t>
        </is>
      </c>
      <c r="B12" s="9" t="inlineStr">
        <is>
          <t>16MnCr5</t>
        </is>
      </c>
      <c r="C12" s="10" t="n">
        <v>7850</v>
      </c>
      <c r="D12" s="11" t="n">
        <v>2.1</v>
      </c>
      <c r="E12" s="11" t="n">
        <v>2.9</v>
      </c>
      <c r="F12" s="11" t="n">
        <v>2.4</v>
      </c>
      <c r="G12" s="11" t="n">
        <v>0.15</v>
      </c>
      <c r="H12" s="12">
        <f>C12*F12/1000</f>
        <v/>
      </c>
      <c r="I12" s="13" t="inlineStr">
        <is>
          <t>Einsatzstahl</t>
        </is>
      </c>
    </row>
    <row r="13">
      <c r="A13" s="9" t="inlineStr">
        <is>
          <t>Edelstahl</t>
        </is>
      </c>
      <c r="B13" s="9" t="inlineStr">
        <is>
          <t>1.4301 (X5CrNi18-10)</t>
        </is>
      </c>
      <c r="C13" s="10" t="n">
        <v>7900</v>
      </c>
      <c r="D13" s="11" t="n">
        <v>8</v>
      </c>
      <c r="E13" s="11" t="n">
        <v>13</v>
      </c>
      <c r="F13" s="11" t="n">
        <v>10.5</v>
      </c>
      <c r="G13" s="11" t="n">
        <v>1.2</v>
      </c>
      <c r="H13" s="12">
        <f>C13*F13/1000</f>
        <v/>
      </c>
      <c r="I13" s="13" t="inlineStr">
        <is>
          <t>V2A, Legierungszuschlag monatlich prüfen</t>
        </is>
      </c>
    </row>
    <row r="14">
      <c r="A14" s="9" t="inlineStr">
        <is>
          <t>Edelstahl</t>
        </is>
      </c>
      <c r="B14" s="9" t="inlineStr">
        <is>
          <t>1.4404 (X2CrNiMo17-12-2)</t>
        </is>
      </c>
      <c r="C14" s="10" t="n">
        <v>8000</v>
      </c>
      <c r="D14" s="11" t="n">
        <v>10</v>
      </c>
      <c r="E14" s="11" t="n">
        <v>15</v>
      </c>
      <c r="F14" s="11" t="n">
        <v>12.5</v>
      </c>
      <c r="G14" s="11" t="n">
        <v>1.4</v>
      </c>
      <c r="H14" s="12">
        <f>C14*F14/1000</f>
        <v/>
      </c>
      <c r="I14" s="13" t="inlineStr">
        <is>
          <t>V4A, seewasserbeständig</t>
        </is>
      </c>
    </row>
    <row r="15">
      <c r="A15" s="9" t="inlineStr">
        <is>
          <t>Edelstahl</t>
        </is>
      </c>
      <c r="B15" s="9" t="inlineStr">
        <is>
          <t>1.4571</t>
        </is>
      </c>
      <c r="C15" s="10" t="n">
        <v>8000</v>
      </c>
      <c r="D15" s="11" t="n">
        <v>11</v>
      </c>
      <c r="E15" s="11" t="n">
        <v>16</v>
      </c>
      <c r="F15" s="11" t="n">
        <v>13.5</v>
      </c>
      <c r="G15" s="11" t="n">
        <v>1.4</v>
      </c>
      <c r="H15" s="12">
        <f>C15*F15/1000</f>
        <v/>
      </c>
      <c r="I15" s="13" t="inlineStr">
        <is>
          <t>titanstabilisiert</t>
        </is>
      </c>
    </row>
    <row r="16">
      <c r="A16" s="9" t="inlineStr">
        <is>
          <t>Aluminium</t>
        </is>
      </c>
      <c r="B16" s="9" t="inlineStr">
        <is>
          <t>EN AW-5754 (AlMg3)</t>
        </is>
      </c>
      <c r="C16" s="10" t="n">
        <v>2660</v>
      </c>
      <c r="D16" s="11" t="n">
        <v>5.5</v>
      </c>
      <c r="E16" s="11" t="n">
        <v>8</v>
      </c>
      <c r="F16" s="11" t="n">
        <v>6.5</v>
      </c>
      <c r="G16" s="11" t="n">
        <v>1.1</v>
      </c>
      <c r="H16" s="12">
        <f>C16*F16/1000</f>
        <v/>
      </c>
      <c r="I16" s="13" t="inlineStr">
        <is>
          <t>Blech, gut umformbar/schweißbar</t>
        </is>
      </c>
    </row>
    <row r="17">
      <c r="A17" s="9" t="inlineStr">
        <is>
          <t>Aluminium</t>
        </is>
      </c>
      <c r="B17" s="9" t="inlineStr">
        <is>
          <t>EN AW-6082 (AlMgSi1)</t>
        </is>
      </c>
      <c r="C17" s="10" t="n">
        <v>2700</v>
      </c>
      <c r="D17" s="11" t="n">
        <v>6</v>
      </c>
      <c r="E17" s="11" t="n">
        <v>9</v>
      </c>
      <c r="F17" s="11" t="n">
        <v>7</v>
      </c>
      <c r="G17" s="11" t="n">
        <v>1.1</v>
      </c>
      <c r="H17" s="12">
        <f>C17*F17/1000</f>
        <v/>
      </c>
      <c r="I17" s="13" t="inlineStr">
        <is>
          <t>Standard für Frästeile</t>
        </is>
      </c>
    </row>
    <row r="18">
      <c r="A18" s="9" t="inlineStr">
        <is>
          <t>Aluminium</t>
        </is>
      </c>
      <c r="B18" s="9" t="inlineStr">
        <is>
          <t>EN AW-7075</t>
        </is>
      </c>
      <c r="C18" s="10" t="n">
        <v>2810</v>
      </c>
      <c r="D18" s="11" t="n">
        <v>9</v>
      </c>
      <c r="E18" s="11" t="n">
        <v>14</v>
      </c>
      <c r="F18" s="11" t="n">
        <v>11</v>
      </c>
      <c r="G18" s="11" t="n">
        <v>1.1</v>
      </c>
      <c r="H18" s="12">
        <f>C18*F18/1000</f>
        <v/>
      </c>
      <c r="I18" s="13" t="inlineStr">
        <is>
          <t>hochfest</t>
        </is>
      </c>
    </row>
    <row r="19">
      <c r="A19" s="9" t="inlineStr">
        <is>
          <t>Aluminium</t>
        </is>
      </c>
      <c r="B19" s="9" t="inlineStr">
        <is>
          <t>EN AW-5083</t>
        </is>
      </c>
      <c r="C19" s="10" t="n">
        <v>2660</v>
      </c>
      <c r="D19" s="11" t="n">
        <v>6.5</v>
      </c>
      <c r="E19" s="11" t="n">
        <v>9.5</v>
      </c>
      <c r="F19" s="11" t="n">
        <v>7.5</v>
      </c>
      <c r="G19" s="11" t="n">
        <v>1.1</v>
      </c>
      <c r="H19" s="12">
        <f>C19*F19/1000</f>
        <v/>
      </c>
      <c r="I19" s="13" t="inlineStr">
        <is>
          <t>seewasserfest</t>
        </is>
      </c>
    </row>
    <row r="20">
      <c r="A20" s="9" t="inlineStr">
        <is>
          <t>Buntmetall</t>
        </is>
      </c>
      <c r="B20" s="9" t="inlineStr">
        <is>
          <t>CuZn39Pb3 (Messing)</t>
        </is>
      </c>
      <c r="C20" s="10" t="n">
        <v>8470</v>
      </c>
      <c r="D20" s="11" t="n">
        <v>9</v>
      </c>
      <c r="E20" s="11" t="n">
        <v>14</v>
      </c>
      <c r="F20" s="11" t="n">
        <v>11</v>
      </c>
      <c r="G20" s="11" t="n">
        <v>5</v>
      </c>
      <c r="H20" s="12">
        <f>C20*F20/1000</f>
        <v/>
      </c>
      <c r="I20" s="13" t="inlineStr">
        <is>
          <t>Automatendrehteile</t>
        </is>
      </c>
    </row>
    <row r="21">
      <c r="A21" s="9" t="inlineStr">
        <is>
          <t>Buntmetall</t>
        </is>
      </c>
      <c r="B21" s="9" t="inlineStr">
        <is>
          <t>Cu-ETP (Kupfer)</t>
        </is>
      </c>
      <c r="C21" s="10" t="n">
        <v>8930</v>
      </c>
      <c r="D21" s="11" t="n">
        <v>12</v>
      </c>
      <c r="E21" s="11" t="n">
        <v>17</v>
      </c>
      <c r="F21" s="11" t="n">
        <v>14</v>
      </c>
      <c r="G21" s="11" t="n">
        <v>7</v>
      </c>
      <c r="H21" s="12">
        <f>C21*F21/1000</f>
        <v/>
      </c>
      <c r="I21" s="13" t="inlineStr">
        <is>
          <t>Stromschienen</t>
        </is>
      </c>
    </row>
    <row r="22">
      <c r="A22" s="9" t="inlineStr">
        <is>
          <t>Buntmetall</t>
        </is>
      </c>
      <c r="B22" s="9" t="inlineStr">
        <is>
          <t>CuSn8 (Bronze)</t>
        </is>
      </c>
      <c r="C22" s="10" t="n">
        <v>8800</v>
      </c>
      <c r="D22" s="11" t="n">
        <v>14</v>
      </c>
      <c r="E22" s="11" t="n">
        <v>20</v>
      </c>
      <c r="F22" s="11" t="n">
        <v>16.5</v>
      </c>
      <c r="G22" s="11" t="n">
        <v>7</v>
      </c>
      <c r="H22" s="12">
        <f>C22*F22/1000</f>
        <v/>
      </c>
      <c r="I22" s="13" t="inlineStr">
        <is>
          <t>Gleitlager</t>
        </is>
      </c>
    </row>
    <row r="23">
      <c r="A23" s="9" t="inlineStr">
        <is>
          <t>Kunststoff</t>
        </is>
      </c>
      <c r="B23" s="9" t="inlineStr">
        <is>
          <t>POM-C</t>
        </is>
      </c>
      <c r="C23" s="10" t="n">
        <v>1410</v>
      </c>
      <c r="D23" s="11" t="n">
        <v>6</v>
      </c>
      <c r="E23" s="11" t="n">
        <v>10</v>
      </c>
      <c r="F23" s="11" t="n">
        <v>8</v>
      </c>
      <c r="G23" s="11" t="n">
        <v>0</v>
      </c>
      <c r="H23" s="12">
        <f>C23*F23/1000</f>
        <v/>
      </c>
      <c r="I23" s="13" t="inlineStr">
        <is>
          <t>Präzisionsteile</t>
        </is>
      </c>
    </row>
    <row r="24">
      <c r="A24" s="9" t="inlineStr">
        <is>
          <t>Kunststoff</t>
        </is>
      </c>
      <c r="B24" s="9" t="inlineStr">
        <is>
          <t>PA6</t>
        </is>
      </c>
      <c r="C24" s="10" t="n">
        <v>1140</v>
      </c>
      <c r="D24" s="11" t="n">
        <v>7</v>
      </c>
      <c r="E24" s="11" t="n">
        <v>11</v>
      </c>
      <c r="F24" s="11" t="n">
        <v>9</v>
      </c>
      <c r="G24" s="11" t="n">
        <v>0</v>
      </c>
      <c r="H24" s="12">
        <f>C24*F24/1000</f>
        <v/>
      </c>
      <c r="I24" s="13" t="inlineStr">
        <is>
          <t>Zahnräder, Gleitelemente</t>
        </is>
      </c>
    </row>
    <row r="25">
      <c r="A25" s="9" t="inlineStr">
        <is>
          <t>Kunststoff</t>
        </is>
      </c>
      <c r="B25" s="9" t="inlineStr">
        <is>
          <t>PE-HD</t>
        </is>
      </c>
      <c r="C25" s="10" t="n">
        <v>950</v>
      </c>
      <c r="D25" s="11" t="n">
        <v>4</v>
      </c>
      <c r="E25" s="11" t="n">
        <v>6</v>
      </c>
      <c r="F25" s="11" t="n">
        <v>5</v>
      </c>
      <c r="G25" s="11" t="n">
        <v>0</v>
      </c>
      <c r="H25" s="12">
        <f>C25*F25/1000</f>
        <v/>
      </c>
      <c r="I25" s="13" t="inlineStr">
        <is>
          <t>Verschleißleisten</t>
        </is>
      </c>
    </row>
    <row r="26">
      <c r="A26" s="9" t="inlineStr">
        <is>
          <t>Kunststoff</t>
        </is>
      </c>
      <c r="B26" s="9" t="inlineStr">
        <is>
          <t>PMMA</t>
        </is>
      </c>
      <c r="C26" s="10" t="n">
        <v>1190</v>
      </c>
      <c r="D26" s="11" t="n">
        <v>6</v>
      </c>
      <c r="E26" s="11" t="n">
        <v>9</v>
      </c>
      <c r="F26" s="11" t="n">
        <v>7.5</v>
      </c>
      <c r="G26" s="11" t="n">
        <v>0</v>
      </c>
      <c r="H26" s="12">
        <f>C26*F26/1000</f>
        <v/>
      </c>
      <c r="I26" s="13" t="inlineStr">
        <is>
          <t>Sichtscheiben</t>
        </is>
      </c>
    </row>
    <row r="27">
      <c r="A27" s="9" t="inlineStr">
        <is>
          <t>Guss</t>
        </is>
      </c>
      <c r="B27" s="9" t="inlineStr">
        <is>
          <t>EN-GJL-250 (GG25)</t>
        </is>
      </c>
      <c r="C27" s="10" t="n">
        <v>7200</v>
      </c>
      <c r="D27" s="11" t="n">
        <v>2.2</v>
      </c>
      <c r="E27" s="11" t="n">
        <v>3.2</v>
      </c>
      <c r="F27" s="11" t="n">
        <v>2.7</v>
      </c>
      <c r="G27" s="11" t="n">
        <v>0.15</v>
      </c>
      <c r="H27" s="12">
        <f>C27*F27/1000</f>
        <v/>
      </c>
      <c r="I27" s="13" t="inlineStr">
        <is>
          <t>Gehäuse</t>
        </is>
      </c>
    </row>
    <row r="28">
      <c r="A28" s="9" t="inlineStr">
        <is>
          <t>Guss</t>
        </is>
      </c>
      <c r="B28" s="9" t="inlineStr">
        <is>
          <t>EN-GJS-400-15 (GGG40)</t>
        </is>
      </c>
      <c r="C28" s="10" t="n">
        <v>7100</v>
      </c>
      <c r="D28" s="11" t="n">
        <v>2.6</v>
      </c>
      <c r="E28" s="11" t="n">
        <v>3.8</v>
      </c>
      <c r="F28" s="11" t="n">
        <v>3.1</v>
      </c>
      <c r="G28" s="11" t="n">
        <v>0.15</v>
      </c>
      <c r="H28" s="12">
        <f>C28*F28/1000</f>
        <v/>
      </c>
      <c r="I28" s="13" t="inlineStr">
        <is>
          <t>Sphäroguss</t>
        </is>
      </c>
    </row>
    <row r="29">
      <c r="A29" s="9" t="inlineStr">
        <is>
          <t>Titan</t>
        </is>
      </c>
      <c r="B29" s="9" t="inlineStr">
        <is>
          <t>Ti Grade 5 (TiAl6V4)</t>
        </is>
      </c>
      <c r="C29" s="10" t="n">
        <v>4430</v>
      </c>
      <c r="D29" s="11" t="n">
        <v>45</v>
      </c>
      <c r="E29" s="11" t="n">
        <v>85</v>
      </c>
      <c r="F29" s="11" t="n">
        <v>60</v>
      </c>
      <c r="G29" s="11" t="n">
        <v>6</v>
      </c>
      <c r="H29" s="12">
        <f>C29*F29/1000</f>
        <v/>
      </c>
      <c r="I29" s="13" t="inlineStr">
        <is>
          <t>Luftfahrt, sehr teuer</t>
        </is>
      </c>
    </row>
    <row r="31">
      <c r="A31" s="7" t="inlineStr">
        <is>
          <t>Startwert = empfohlener Eintrag in der Costing-Vorlage. Preis je dm³ dient nur zur Plausibilitätsprüfung.</t>
        </is>
      </c>
    </row>
    <row r="32">
      <c r="A32" s="7" t="inlineStr">
        <is>
          <t>Bei 1.4301/1.4404 macht der Legierungszuschlag bis zu 40 % des Preises aus – monatlich nachziehen.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Materialdaten für die Blechvorlage (.sldcts)</t>
        </is>
      </c>
    </row>
    <row r="2">
      <c r="A2" s="7" t="inlineStr">
        <is>
          <t>Jede Kombination aus Werkstoff und Dicke ist in der Vorlage eine eigene Zeile. Fehlt eine Dicke, wird das Teil nicht bewertet.</t>
        </is>
      </c>
    </row>
    <row r="4" ht="30" customHeight="1">
      <c r="A4" s="8" t="inlineStr">
        <is>
          <t>Werkstoff</t>
        </is>
      </c>
      <c r="B4" s="8" t="inlineStr">
        <is>
          <t>Dicke [mm]</t>
        </is>
      </c>
      <c r="C4" s="8" t="inlineStr">
        <is>
          <t>Dichte [kg/m³]</t>
        </is>
      </c>
      <c r="D4" s="8" t="inlineStr">
        <is>
          <t>Preis [€/kg]</t>
        </is>
      </c>
      <c r="E4" s="8" t="inlineStr">
        <is>
          <t>Tafel Länge [mm]</t>
        </is>
      </c>
      <c r="F4" s="8" t="inlineStr">
        <is>
          <t>Tafel Breite [mm]</t>
        </is>
      </c>
      <c r="G4" s="8" t="inlineStr">
        <is>
          <t>Tafelgewicht [kg]</t>
        </is>
      </c>
      <c r="H4" s="8" t="inlineStr">
        <is>
          <t>Tafelpreis [€]</t>
        </is>
      </c>
      <c r="I4" s="8" t="inlineStr">
        <is>
          <t>Preis je m² [€]</t>
        </is>
      </c>
      <c r="J4" s="8" t="inlineStr">
        <is>
          <t>Schrotterlös [€/kg]</t>
        </is>
      </c>
    </row>
    <row r="5">
      <c r="A5" s="9" t="inlineStr">
        <is>
          <t>S235JR</t>
        </is>
      </c>
      <c r="B5" s="14" t="n">
        <v>1</v>
      </c>
      <c r="C5" s="10" t="n">
        <v>7850</v>
      </c>
      <c r="D5" s="11" t="n">
        <v>1.65</v>
      </c>
      <c r="E5" s="10" t="n">
        <v>3000</v>
      </c>
      <c r="F5" s="10" t="n">
        <v>1500</v>
      </c>
      <c r="G5" s="15">
        <f>E5/1000*F5/1000*B5/1000*C5</f>
        <v/>
      </c>
      <c r="H5" s="12">
        <f>G5*D5</f>
        <v/>
      </c>
      <c r="I5" s="12">
        <f>H5/(E5/1000*F5/1000)</f>
        <v/>
      </c>
      <c r="J5" s="11" t="n">
        <v>0.15</v>
      </c>
    </row>
    <row r="6">
      <c r="A6" s="9" t="inlineStr">
        <is>
          <t>S235JR</t>
        </is>
      </c>
      <c r="B6" s="14" t="n">
        <v>1.5</v>
      </c>
      <c r="C6" s="10" t="n">
        <v>7850</v>
      </c>
      <c r="D6" s="11" t="n">
        <v>1.65</v>
      </c>
      <c r="E6" s="10" t="n">
        <v>3000</v>
      </c>
      <c r="F6" s="10" t="n">
        <v>1500</v>
      </c>
      <c r="G6" s="15">
        <f>E6/1000*F6/1000*B6/1000*C6</f>
        <v/>
      </c>
      <c r="H6" s="12">
        <f>G6*D6</f>
        <v/>
      </c>
      <c r="I6" s="12">
        <f>H6/(E6/1000*F6/1000)</f>
        <v/>
      </c>
      <c r="J6" s="11" t="n">
        <v>0.15</v>
      </c>
    </row>
    <row r="7">
      <c r="A7" s="9" t="inlineStr">
        <is>
          <t>S235JR</t>
        </is>
      </c>
      <c r="B7" s="14" t="n">
        <v>2</v>
      </c>
      <c r="C7" s="10" t="n">
        <v>7850</v>
      </c>
      <c r="D7" s="11" t="n">
        <v>1.65</v>
      </c>
      <c r="E7" s="10" t="n">
        <v>3000</v>
      </c>
      <c r="F7" s="10" t="n">
        <v>1500</v>
      </c>
      <c r="G7" s="15">
        <f>E7/1000*F7/1000*B7/1000*C7</f>
        <v/>
      </c>
      <c r="H7" s="12">
        <f>G7*D7</f>
        <v/>
      </c>
      <c r="I7" s="12">
        <f>H7/(E7/1000*F7/1000)</f>
        <v/>
      </c>
      <c r="J7" s="11" t="n">
        <v>0.15</v>
      </c>
    </row>
    <row r="8">
      <c r="A8" s="9" t="inlineStr">
        <is>
          <t>S235JR</t>
        </is>
      </c>
      <c r="B8" s="14" t="n">
        <v>3</v>
      </c>
      <c r="C8" s="10" t="n">
        <v>7850</v>
      </c>
      <c r="D8" s="11" t="n">
        <v>1.65</v>
      </c>
      <c r="E8" s="10" t="n">
        <v>3000</v>
      </c>
      <c r="F8" s="10" t="n">
        <v>1500</v>
      </c>
      <c r="G8" s="15">
        <f>E8/1000*F8/1000*B8/1000*C8</f>
        <v/>
      </c>
      <c r="H8" s="12">
        <f>G8*D8</f>
        <v/>
      </c>
      <c r="I8" s="12">
        <f>H8/(E8/1000*F8/1000)</f>
        <v/>
      </c>
      <c r="J8" s="11" t="n">
        <v>0.15</v>
      </c>
    </row>
    <row r="9">
      <c r="A9" s="9" t="inlineStr">
        <is>
          <t>S235JR</t>
        </is>
      </c>
      <c r="B9" s="14" t="n">
        <v>4</v>
      </c>
      <c r="C9" s="10" t="n">
        <v>7850</v>
      </c>
      <c r="D9" s="11" t="n">
        <v>1.65</v>
      </c>
      <c r="E9" s="10" t="n">
        <v>3000</v>
      </c>
      <c r="F9" s="10" t="n">
        <v>1500</v>
      </c>
      <c r="G9" s="15">
        <f>E9/1000*F9/1000*B9/1000*C9</f>
        <v/>
      </c>
      <c r="H9" s="12">
        <f>G9*D9</f>
        <v/>
      </c>
      <c r="I9" s="12">
        <f>H9/(E9/1000*F9/1000)</f>
        <v/>
      </c>
      <c r="J9" s="11" t="n">
        <v>0.15</v>
      </c>
    </row>
    <row r="10">
      <c r="A10" s="9" t="inlineStr">
        <is>
          <t>S235JR</t>
        </is>
      </c>
      <c r="B10" s="14" t="n">
        <v>5</v>
      </c>
      <c r="C10" s="10" t="n">
        <v>7850</v>
      </c>
      <c r="D10" s="11" t="n">
        <v>1.65</v>
      </c>
      <c r="E10" s="10" t="n">
        <v>3000</v>
      </c>
      <c r="F10" s="10" t="n">
        <v>1500</v>
      </c>
      <c r="G10" s="15">
        <f>E10/1000*F10/1000*B10/1000*C10</f>
        <v/>
      </c>
      <c r="H10" s="12">
        <f>G10*D10</f>
        <v/>
      </c>
      <c r="I10" s="12">
        <f>H10/(E10/1000*F10/1000)</f>
        <v/>
      </c>
      <c r="J10" s="11" t="n">
        <v>0.15</v>
      </c>
    </row>
    <row r="11">
      <c r="A11" s="9" t="inlineStr">
        <is>
          <t>S235JR</t>
        </is>
      </c>
      <c r="B11" s="14" t="n">
        <v>6</v>
      </c>
      <c r="C11" s="10" t="n">
        <v>7850</v>
      </c>
      <c r="D11" s="11" t="n">
        <v>1.65</v>
      </c>
      <c r="E11" s="10" t="n">
        <v>3000</v>
      </c>
      <c r="F11" s="10" t="n">
        <v>1500</v>
      </c>
      <c r="G11" s="15">
        <f>E11/1000*F11/1000*B11/1000*C11</f>
        <v/>
      </c>
      <c r="H11" s="12">
        <f>G11*D11</f>
        <v/>
      </c>
      <c r="I11" s="12">
        <f>H11/(E11/1000*F11/1000)</f>
        <v/>
      </c>
      <c r="J11" s="11" t="n">
        <v>0.15</v>
      </c>
    </row>
    <row r="12">
      <c r="A12" s="9" t="inlineStr">
        <is>
          <t>S235JR</t>
        </is>
      </c>
      <c r="B12" s="14" t="n">
        <v>8</v>
      </c>
      <c r="C12" s="10" t="n">
        <v>7850</v>
      </c>
      <c r="D12" s="11" t="n">
        <v>1.65</v>
      </c>
      <c r="E12" s="10" t="n">
        <v>3000</v>
      </c>
      <c r="F12" s="10" t="n">
        <v>1500</v>
      </c>
      <c r="G12" s="15">
        <f>E12/1000*F12/1000*B12/1000*C12</f>
        <v/>
      </c>
      <c r="H12" s="12">
        <f>G12*D12</f>
        <v/>
      </c>
      <c r="I12" s="12">
        <f>H12/(E12/1000*F12/1000)</f>
        <v/>
      </c>
      <c r="J12" s="11" t="n">
        <v>0.15</v>
      </c>
    </row>
    <row r="13">
      <c r="A13" s="9" t="inlineStr">
        <is>
          <t>S235JR</t>
        </is>
      </c>
      <c r="B13" s="14" t="n">
        <v>10</v>
      </c>
      <c r="C13" s="10" t="n">
        <v>7850</v>
      </c>
      <c r="D13" s="11" t="n">
        <v>1.65</v>
      </c>
      <c r="E13" s="10" t="n">
        <v>3000</v>
      </c>
      <c r="F13" s="10" t="n">
        <v>1500</v>
      </c>
      <c r="G13" s="15">
        <f>E13/1000*F13/1000*B13/1000*C13</f>
        <v/>
      </c>
      <c r="H13" s="12">
        <f>G13*D13</f>
        <v/>
      </c>
      <c r="I13" s="12">
        <f>H13/(E13/1000*F13/1000)</f>
        <v/>
      </c>
      <c r="J13" s="11" t="n">
        <v>0.15</v>
      </c>
    </row>
    <row r="14">
      <c r="A14" s="9" t="inlineStr">
        <is>
          <t>S235JR</t>
        </is>
      </c>
      <c r="B14" s="14" t="n">
        <v>12</v>
      </c>
      <c r="C14" s="10" t="n">
        <v>7850</v>
      </c>
      <c r="D14" s="11" t="n">
        <v>1.65</v>
      </c>
      <c r="E14" s="10" t="n">
        <v>3000</v>
      </c>
      <c r="F14" s="10" t="n">
        <v>1500</v>
      </c>
      <c r="G14" s="15">
        <f>E14/1000*F14/1000*B14/1000*C14</f>
        <v/>
      </c>
      <c r="H14" s="12">
        <f>G14*D14</f>
        <v/>
      </c>
      <c r="I14" s="12">
        <f>H14/(E14/1000*F14/1000)</f>
        <v/>
      </c>
      <c r="J14" s="11" t="n">
        <v>0.15</v>
      </c>
    </row>
    <row r="15">
      <c r="A15" s="9" t="inlineStr">
        <is>
          <t>S235JR</t>
        </is>
      </c>
      <c r="B15" s="14" t="n">
        <v>15</v>
      </c>
      <c r="C15" s="10" t="n">
        <v>7850</v>
      </c>
      <c r="D15" s="11" t="n">
        <v>1.65</v>
      </c>
      <c r="E15" s="10" t="n">
        <v>3000</v>
      </c>
      <c r="F15" s="10" t="n">
        <v>1500</v>
      </c>
      <c r="G15" s="15">
        <f>E15/1000*F15/1000*B15/1000*C15</f>
        <v/>
      </c>
      <c r="H15" s="12">
        <f>G15*D15</f>
        <v/>
      </c>
      <c r="I15" s="12">
        <f>H15/(E15/1000*F15/1000)</f>
        <v/>
      </c>
      <c r="J15" s="11" t="n">
        <v>0.15</v>
      </c>
    </row>
    <row r="16">
      <c r="A16" s="9" t="inlineStr">
        <is>
          <t>S235JR</t>
        </is>
      </c>
      <c r="B16" s="14" t="n">
        <v>20</v>
      </c>
      <c r="C16" s="10" t="n">
        <v>7850</v>
      </c>
      <c r="D16" s="11" t="n">
        <v>1.65</v>
      </c>
      <c r="E16" s="10" t="n">
        <v>3000</v>
      </c>
      <c r="F16" s="10" t="n">
        <v>1500</v>
      </c>
      <c r="G16" s="15">
        <f>E16/1000*F16/1000*B16/1000*C16</f>
        <v/>
      </c>
      <c r="H16" s="12">
        <f>G16*D16</f>
        <v/>
      </c>
      <c r="I16" s="12">
        <f>H16/(E16/1000*F16/1000)</f>
        <v/>
      </c>
      <c r="J16" s="11" t="n">
        <v>0.15</v>
      </c>
    </row>
    <row r="17">
      <c r="A17" s="9" t="inlineStr">
        <is>
          <t>DC01</t>
        </is>
      </c>
      <c r="B17" s="14" t="n">
        <v>0.75</v>
      </c>
      <c r="C17" s="10" t="n">
        <v>7850</v>
      </c>
      <c r="D17" s="11" t="n">
        <v>1.75</v>
      </c>
      <c r="E17" s="10" t="n">
        <v>2000</v>
      </c>
      <c r="F17" s="10" t="n">
        <v>1000</v>
      </c>
      <c r="G17" s="15">
        <f>E17/1000*F17/1000*B17/1000*C17</f>
        <v/>
      </c>
      <c r="H17" s="12">
        <f>G17*D17</f>
        <v/>
      </c>
      <c r="I17" s="12">
        <f>H17/(E17/1000*F17/1000)</f>
        <v/>
      </c>
      <c r="J17" s="11" t="n">
        <v>0.15</v>
      </c>
    </row>
    <row r="18">
      <c r="A18" s="9" t="inlineStr">
        <is>
          <t>DC01</t>
        </is>
      </c>
      <c r="B18" s="14" t="n">
        <v>1</v>
      </c>
      <c r="C18" s="10" t="n">
        <v>7850</v>
      </c>
      <c r="D18" s="11" t="n">
        <v>1.75</v>
      </c>
      <c r="E18" s="10" t="n">
        <v>2000</v>
      </c>
      <c r="F18" s="10" t="n">
        <v>1000</v>
      </c>
      <c r="G18" s="15">
        <f>E18/1000*F18/1000*B18/1000*C18</f>
        <v/>
      </c>
      <c r="H18" s="12">
        <f>G18*D18</f>
        <v/>
      </c>
      <c r="I18" s="12">
        <f>H18/(E18/1000*F18/1000)</f>
        <v/>
      </c>
      <c r="J18" s="11" t="n">
        <v>0.15</v>
      </c>
    </row>
    <row r="19">
      <c r="A19" s="9" t="inlineStr">
        <is>
          <t>DC01</t>
        </is>
      </c>
      <c r="B19" s="14" t="n">
        <v>1.5</v>
      </c>
      <c r="C19" s="10" t="n">
        <v>7850</v>
      </c>
      <c r="D19" s="11" t="n">
        <v>1.75</v>
      </c>
      <c r="E19" s="10" t="n">
        <v>2000</v>
      </c>
      <c r="F19" s="10" t="n">
        <v>1000</v>
      </c>
      <c r="G19" s="15">
        <f>E19/1000*F19/1000*B19/1000*C19</f>
        <v/>
      </c>
      <c r="H19" s="12">
        <f>G19*D19</f>
        <v/>
      </c>
      <c r="I19" s="12">
        <f>H19/(E19/1000*F19/1000)</f>
        <v/>
      </c>
      <c r="J19" s="11" t="n">
        <v>0.15</v>
      </c>
    </row>
    <row r="20">
      <c r="A20" s="9" t="inlineStr">
        <is>
          <t>DC01</t>
        </is>
      </c>
      <c r="B20" s="14" t="n">
        <v>2</v>
      </c>
      <c r="C20" s="10" t="n">
        <v>7850</v>
      </c>
      <c r="D20" s="11" t="n">
        <v>1.75</v>
      </c>
      <c r="E20" s="10" t="n">
        <v>2000</v>
      </c>
      <c r="F20" s="10" t="n">
        <v>1000</v>
      </c>
      <c r="G20" s="15">
        <f>E20/1000*F20/1000*B20/1000*C20</f>
        <v/>
      </c>
      <c r="H20" s="12">
        <f>G20*D20</f>
        <v/>
      </c>
      <c r="I20" s="12">
        <f>H20/(E20/1000*F20/1000)</f>
        <v/>
      </c>
      <c r="J20" s="11" t="n">
        <v>0.15</v>
      </c>
    </row>
    <row r="21">
      <c r="A21" s="9" t="inlineStr">
        <is>
          <t>DC01</t>
        </is>
      </c>
      <c r="B21" s="14" t="n">
        <v>3</v>
      </c>
      <c r="C21" s="10" t="n">
        <v>7850</v>
      </c>
      <c r="D21" s="11" t="n">
        <v>1.75</v>
      </c>
      <c r="E21" s="10" t="n">
        <v>2000</v>
      </c>
      <c r="F21" s="10" t="n">
        <v>1000</v>
      </c>
      <c r="G21" s="15">
        <f>E21/1000*F21/1000*B21/1000*C21</f>
        <v/>
      </c>
      <c r="H21" s="12">
        <f>G21*D21</f>
        <v/>
      </c>
      <c r="I21" s="12">
        <f>H21/(E21/1000*F21/1000)</f>
        <v/>
      </c>
      <c r="J21" s="11" t="n">
        <v>0.15</v>
      </c>
    </row>
    <row r="22">
      <c r="A22" s="9" t="inlineStr">
        <is>
          <t>DX51D+Z</t>
        </is>
      </c>
      <c r="B22" s="14" t="n">
        <v>0.75</v>
      </c>
      <c r="C22" s="10" t="n">
        <v>7850</v>
      </c>
      <c r="D22" s="11" t="n">
        <v>1.9</v>
      </c>
      <c r="E22" s="10" t="n">
        <v>2000</v>
      </c>
      <c r="F22" s="10" t="n">
        <v>1000</v>
      </c>
      <c r="G22" s="15">
        <f>E22/1000*F22/1000*B22/1000*C22</f>
        <v/>
      </c>
      <c r="H22" s="12">
        <f>G22*D22</f>
        <v/>
      </c>
      <c r="I22" s="12">
        <f>H22/(E22/1000*F22/1000)</f>
        <v/>
      </c>
      <c r="J22" s="11" t="n">
        <v>0.12</v>
      </c>
    </row>
    <row r="23">
      <c r="A23" s="9" t="inlineStr">
        <is>
          <t>DX51D+Z</t>
        </is>
      </c>
      <c r="B23" s="14" t="n">
        <v>1</v>
      </c>
      <c r="C23" s="10" t="n">
        <v>7850</v>
      </c>
      <c r="D23" s="11" t="n">
        <v>1.9</v>
      </c>
      <c r="E23" s="10" t="n">
        <v>2000</v>
      </c>
      <c r="F23" s="10" t="n">
        <v>1000</v>
      </c>
      <c r="G23" s="15">
        <f>E23/1000*F23/1000*B23/1000*C23</f>
        <v/>
      </c>
      <c r="H23" s="12">
        <f>G23*D23</f>
        <v/>
      </c>
      <c r="I23" s="12">
        <f>H23/(E23/1000*F23/1000)</f>
        <v/>
      </c>
      <c r="J23" s="11" t="n">
        <v>0.12</v>
      </c>
    </row>
    <row r="24">
      <c r="A24" s="9" t="inlineStr">
        <is>
          <t>DX51D+Z</t>
        </is>
      </c>
      <c r="B24" s="14" t="n">
        <v>1.5</v>
      </c>
      <c r="C24" s="10" t="n">
        <v>7850</v>
      </c>
      <c r="D24" s="11" t="n">
        <v>1.9</v>
      </c>
      <c r="E24" s="10" t="n">
        <v>2000</v>
      </c>
      <c r="F24" s="10" t="n">
        <v>1000</v>
      </c>
      <c r="G24" s="15">
        <f>E24/1000*F24/1000*B24/1000*C24</f>
        <v/>
      </c>
      <c r="H24" s="12">
        <f>G24*D24</f>
        <v/>
      </c>
      <c r="I24" s="12">
        <f>H24/(E24/1000*F24/1000)</f>
        <v/>
      </c>
      <c r="J24" s="11" t="n">
        <v>0.12</v>
      </c>
    </row>
    <row r="25">
      <c r="A25" s="9" t="inlineStr">
        <is>
          <t>DX51D+Z</t>
        </is>
      </c>
      <c r="B25" s="14" t="n">
        <v>2</v>
      </c>
      <c r="C25" s="10" t="n">
        <v>7850</v>
      </c>
      <c r="D25" s="11" t="n">
        <v>1.9</v>
      </c>
      <c r="E25" s="10" t="n">
        <v>2000</v>
      </c>
      <c r="F25" s="10" t="n">
        <v>1000</v>
      </c>
      <c r="G25" s="15">
        <f>E25/1000*F25/1000*B25/1000*C25</f>
        <v/>
      </c>
      <c r="H25" s="12">
        <f>G25*D25</f>
        <v/>
      </c>
      <c r="I25" s="12">
        <f>H25/(E25/1000*F25/1000)</f>
        <v/>
      </c>
      <c r="J25" s="11" t="n">
        <v>0.12</v>
      </c>
    </row>
    <row r="26">
      <c r="A26" s="9" t="inlineStr">
        <is>
          <t>DX51D+Z</t>
        </is>
      </c>
      <c r="B26" s="14" t="n">
        <v>3</v>
      </c>
      <c r="C26" s="10" t="n">
        <v>7850</v>
      </c>
      <c r="D26" s="11" t="n">
        <v>1.9</v>
      </c>
      <c r="E26" s="10" t="n">
        <v>2000</v>
      </c>
      <c r="F26" s="10" t="n">
        <v>1000</v>
      </c>
      <c r="G26" s="15">
        <f>E26/1000*F26/1000*B26/1000*C26</f>
        <v/>
      </c>
      <c r="H26" s="12">
        <f>G26*D26</f>
        <v/>
      </c>
      <c r="I26" s="12">
        <f>H26/(E26/1000*F26/1000)</f>
        <v/>
      </c>
      <c r="J26" s="11" t="n">
        <v>0.12</v>
      </c>
    </row>
    <row r="27">
      <c r="A27" s="9" t="inlineStr">
        <is>
          <t>1.4301</t>
        </is>
      </c>
      <c r="B27" s="14" t="n">
        <v>1</v>
      </c>
      <c r="C27" s="10" t="n">
        <v>7900</v>
      </c>
      <c r="D27" s="11" t="n">
        <v>10.5</v>
      </c>
      <c r="E27" s="10" t="n">
        <v>2000</v>
      </c>
      <c r="F27" s="10" t="n">
        <v>1000</v>
      </c>
      <c r="G27" s="15">
        <f>E27/1000*F27/1000*B27/1000*C27</f>
        <v/>
      </c>
      <c r="H27" s="12">
        <f>G27*D27</f>
        <v/>
      </c>
      <c r="I27" s="12">
        <f>H27/(E27/1000*F27/1000)</f>
        <v/>
      </c>
      <c r="J27" s="11" t="n">
        <v>1.2</v>
      </c>
    </row>
    <row r="28">
      <c r="A28" s="9" t="inlineStr">
        <is>
          <t>1.4301</t>
        </is>
      </c>
      <c r="B28" s="14" t="n">
        <v>1.5</v>
      </c>
      <c r="C28" s="10" t="n">
        <v>7900</v>
      </c>
      <c r="D28" s="11" t="n">
        <v>10.5</v>
      </c>
      <c r="E28" s="10" t="n">
        <v>2000</v>
      </c>
      <c r="F28" s="10" t="n">
        <v>1000</v>
      </c>
      <c r="G28" s="15">
        <f>E28/1000*F28/1000*B28/1000*C28</f>
        <v/>
      </c>
      <c r="H28" s="12">
        <f>G28*D28</f>
        <v/>
      </c>
      <c r="I28" s="12">
        <f>H28/(E28/1000*F28/1000)</f>
        <v/>
      </c>
      <c r="J28" s="11" t="n">
        <v>1.2</v>
      </c>
    </row>
    <row r="29">
      <c r="A29" s="9" t="inlineStr">
        <is>
          <t>1.4301</t>
        </is>
      </c>
      <c r="B29" s="14" t="n">
        <v>2</v>
      </c>
      <c r="C29" s="10" t="n">
        <v>7900</v>
      </c>
      <c r="D29" s="11" t="n">
        <v>10.5</v>
      </c>
      <c r="E29" s="10" t="n">
        <v>2000</v>
      </c>
      <c r="F29" s="10" t="n">
        <v>1000</v>
      </c>
      <c r="G29" s="15">
        <f>E29/1000*F29/1000*B29/1000*C29</f>
        <v/>
      </c>
      <c r="H29" s="12">
        <f>G29*D29</f>
        <v/>
      </c>
      <c r="I29" s="12">
        <f>H29/(E29/1000*F29/1000)</f>
        <v/>
      </c>
      <c r="J29" s="11" t="n">
        <v>1.2</v>
      </c>
    </row>
    <row r="30">
      <c r="A30" s="9" t="inlineStr">
        <is>
          <t>1.4301</t>
        </is>
      </c>
      <c r="B30" s="14" t="n">
        <v>3</v>
      </c>
      <c r="C30" s="10" t="n">
        <v>7900</v>
      </c>
      <c r="D30" s="11" t="n">
        <v>10.5</v>
      </c>
      <c r="E30" s="10" t="n">
        <v>2000</v>
      </c>
      <c r="F30" s="10" t="n">
        <v>1000</v>
      </c>
      <c r="G30" s="15">
        <f>E30/1000*F30/1000*B30/1000*C30</f>
        <v/>
      </c>
      <c r="H30" s="12">
        <f>G30*D30</f>
        <v/>
      </c>
      <c r="I30" s="12">
        <f>H30/(E30/1000*F30/1000)</f>
        <v/>
      </c>
      <c r="J30" s="11" t="n">
        <v>1.2</v>
      </c>
    </row>
    <row r="31">
      <c r="A31" s="9" t="inlineStr">
        <is>
          <t>1.4301</t>
        </is>
      </c>
      <c r="B31" s="14" t="n">
        <v>4</v>
      </c>
      <c r="C31" s="10" t="n">
        <v>7900</v>
      </c>
      <c r="D31" s="11" t="n">
        <v>10.5</v>
      </c>
      <c r="E31" s="10" t="n">
        <v>2000</v>
      </c>
      <c r="F31" s="10" t="n">
        <v>1000</v>
      </c>
      <c r="G31" s="15">
        <f>E31/1000*F31/1000*B31/1000*C31</f>
        <v/>
      </c>
      <c r="H31" s="12">
        <f>G31*D31</f>
        <v/>
      </c>
      <c r="I31" s="12">
        <f>H31/(E31/1000*F31/1000)</f>
        <v/>
      </c>
      <c r="J31" s="11" t="n">
        <v>1.2</v>
      </c>
    </row>
    <row r="32">
      <c r="A32" s="9" t="inlineStr">
        <is>
          <t>1.4301</t>
        </is>
      </c>
      <c r="B32" s="14" t="n">
        <v>5</v>
      </c>
      <c r="C32" s="10" t="n">
        <v>7900</v>
      </c>
      <c r="D32" s="11" t="n">
        <v>10.5</v>
      </c>
      <c r="E32" s="10" t="n">
        <v>2000</v>
      </c>
      <c r="F32" s="10" t="n">
        <v>1000</v>
      </c>
      <c r="G32" s="15">
        <f>E32/1000*F32/1000*B32/1000*C32</f>
        <v/>
      </c>
      <c r="H32" s="12">
        <f>G32*D32</f>
        <v/>
      </c>
      <c r="I32" s="12">
        <f>H32/(E32/1000*F32/1000)</f>
        <v/>
      </c>
      <c r="J32" s="11" t="n">
        <v>1.2</v>
      </c>
    </row>
    <row r="33">
      <c r="A33" s="9" t="inlineStr">
        <is>
          <t>1.4301</t>
        </is>
      </c>
      <c r="B33" s="14" t="n">
        <v>6</v>
      </c>
      <c r="C33" s="10" t="n">
        <v>7900</v>
      </c>
      <c r="D33" s="11" t="n">
        <v>10.5</v>
      </c>
      <c r="E33" s="10" t="n">
        <v>2000</v>
      </c>
      <c r="F33" s="10" t="n">
        <v>1000</v>
      </c>
      <c r="G33" s="15">
        <f>E33/1000*F33/1000*B33/1000*C33</f>
        <v/>
      </c>
      <c r="H33" s="12">
        <f>G33*D33</f>
        <v/>
      </c>
      <c r="I33" s="12">
        <f>H33/(E33/1000*F33/1000)</f>
        <v/>
      </c>
      <c r="J33" s="11" t="n">
        <v>1.2</v>
      </c>
    </row>
    <row r="34">
      <c r="A34" s="9" t="inlineStr">
        <is>
          <t>1.4301</t>
        </is>
      </c>
      <c r="B34" s="14" t="n">
        <v>8</v>
      </c>
      <c r="C34" s="10" t="n">
        <v>7900</v>
      </c>
      <c r="D34" s="11" t="n">
        <v>10.5</v>
      </c>
      <c r="E34" s="10" t="n">
        <v>2000</v>
      </c>
      <c r="F34" s="10" t="n">
        <v>1000</v>
      </c>
      <c r="G34" s="15">
        <f>E34/1000*F34/1000*B34/1000*C34</f>
        <v/>
      </c>
      <c r="H34" s="12">
        <f>G34*D34</f>
        <v/>
      </c>
      <c r="I34" s="12">
        <f>H34/(E34/1000*F34/1000)</f>
        <v/>
      </c>
      <c r="J34" s="11" t="n">
        <v>1.2</v>
      </c>
    </row>
    <row r="35">
      <c r="A35" s="9" t="inlineStr">
        <is>
          <t>1.4301</t>
        </is>
      </c>
      <c r="B35" s="14" t="n">
        <v>10</v>
      </c>
      <c r="C35" s="10" t="n">
        <v>7900</v>
      </c>
      <c r="D35" s="11" t="n">
        <v>10.5</v>
      </c>
      <c r="E35" s="10" t="n">
        <v>2000</v>
      </c>
      <c r="F35" s="10" t="n">
        <v>1000</v>
      </c>
      <c r="G35" s="15">
        <f>E35/1000*F35/1000*B35/1000*C35</f>
        <v/>
      </c>
      <c r="H35" s="12">
        <f>G35*D35</f>
        <v/>
      </c>
      <c r="I35" s="12">
        <f>H35/(E35/1000*F35/1000)</f>
        <v/>
      </c>
      <c r="J35" s="11" t="n">
        <v>1.2</v>
      </c>
    </row>
    <row r="36">
      <c r="A36" s="9" t="inlineStr">
        <is>
          <t>1.4301</t>
        </is>
      </c>
      <c r="B36" s="14" t="n">
        <v>12</v>
      </c>
      <c r="C36" s="10" t="n">
        <v>7900</v>
      </c>
      <c r="D36" s="11" t="n">
        <v>10.5</v>
      </c>
      <c r="E36" s="10" t="n">
        <v>2000</v>
      </c>
      <c r="F36" s="10" t="n">
        <v>1000</v>
      </c>
      <c r="G36" s="15">
        <f>E36/1000*F36/1000*B36/1000*C36</f>
        <v/>
      </c>
      <c r="H36" s="12">
        <f>G36*D36</f>
        <v/>
      </c>
      <c r="I36" s="12">
        <f>H36/(E36/1000*F36/1000)</f>
        <v/>
      </c>
      <c r="J36" s="11" t="n">
        <v>1.2</v>
      </c>
    </row>
    <row r="37">
      <c r="A37" s="9" t="inlineStr">
        <is>
          <t>1.4404</t>
        </is>
      </c>
      <c r="B37" s="14" t="n">
        <v>1.5</v>
      </c>
      <c r="C37" s="10" t="n">
        <v>8000</v>
      </c>
      <c r="D37" s="11" t="n">
        <v>12.5</v>
      </c>
      <c r="E37" s="10" t="n">
        <v>2000</v>
      </c>
      <c r="F37" s="10" t="n">
        <v>1000</v>
      </c>
      <c r="G37" s="15">
        <f>E37/1000*F37/1000*B37/1000*C37</f>
        <v/>
      </c>
      <c r="H37" s="12">
        <f>G37*D37</f>
        <v/>
      </c>
      <c r="I37" s="12">
        <f>H37/(E37/1000*F37/1000)</f>
        <v/>
      </c>
      <c r="J37" s="11" t="n">
        <v>1.4</v>
      </c>
    </row>
    <row r="38">
      <c r="A38" s="9" t="inlineStr">
        <is>
          <t>1.4404</t>
        </is>
      </c>
      <c r="B38" s="14" t="n">
        <v>2</v>
      </c>
      <c r="C38" s="10" t="n">
        <v>8000</v>
      </c>
      <c r="D38" s="11" t="n">
        <v>12.5</v>
      </c>
      <c r="E38" s="10" t="n">
        <v>2000</v>
      </c>
      <c r="F38" s="10" t="n">
        <v>1000</v>
      </c>
      <c r="G38" s="15">
        <f>E38/1000*F38/1000*B38/1000*C38</f>
        <v/>
      </c>
      <c r="H38" s="12">
        <f>G38*D38</f>
        <v/>
      </c>
      <c r="I38" s="12">
        <f>H38/(E38/1000*F38/1000)</f>
        <v/>
      </c>
      <c r="J38" s="11" t="n">
        <v>1.4</v>
      </c>
    </row>
    <row r="39">
      <c r="A39" s="9" t="inlineStr">
        <is>
          <t>1.4404</t>
        </is>
      </c>
      <c r="B39" s="14" t="n">
        <v>3</v>
      </c>
      <c r="C39" s="10" t="n">
        <v>8000</v>
      </c>
      <c r="D39" s="11" t="n">
        <v>12.5</v>
      </c>
      <c r="E39" s="10" t="n">
        <v>2000</v>
      </c>
      <c r="F39" s="10" t="n">
        <v>1000</v>
      </c>
      <c r="G39" s="15">
        <f>E39/1000*F39/1000*B39/1000*C39</f>
        <v/>
      </c>
      <c r="H39" s="12">
        <f>G39*D39</f>
        <v/>
      </c>
      <c r="I39" s="12">
        <f>H39/(E39/1000*F39/1000)</f>
        <v/>
      </c>
      <c r="J39" s="11" t="n">
        <v>1.4</v>
      </c>
    </row>
    <row r="40">
      <c r="A40" s="9" t="inlineStr">
        <is>
          <t>1.4404</t>
        </is>
      </c>
      <c r="B40" s="14" t="n">
        <v>4</v>
      </c>
      <c r="C40" s="10" t="n">
        <v>8000</v>
      </c>
      <c r="D40" s="11" t="n">
        <v>12.5</v>
      </c>
      <c r="E40" s="10" t="n">
        <v>2000</v>
      </c>
      <c r="F40" s="10" t="n">
        <v>1000</v>
      </c>
      <c r="G40" s="15">
        <f>E40/1000*F40/1000*B40/1000*C40</f>
        <v/>
      </c>
      <c r="H40" s="12">
        <f>G40*D40</f>
        <v/>
      </c>
      <c r="I40" s="12">
        <f>H40/(E40/1000*F40/1000)</f>
        <v/>
      </c>
      <c r="J40" s="11" t="n">
        <v>1.4</v>
      </c>
    </row>
    <row r="41">
      <c r="A41" s="9" t="inlineStr">
        <is>
          <t>1.4404</t>
        </is>
      </c>
      <c r="B41" s="14" t="n">
        <v>5</v>
      </c>
      <c r="C41" s="10" t="n">
        <v>8000</v>
      </c>
      <c r="D41" s="11" t="n">
        <v>12.5</v>
      </c>
      <c r="E41" s="10" t="n">
        <v>2000</v>
      </c>
      <c r="F41" s="10" t="n">
        <v>1000</v>
      </c>
      <c r="G41" s="15">
        <f>E41/1000*F41/1000*B41/1000*C41</f>
        <v/>
      </c>
      <c r="H41" s="12">
        <f>G41*D41</f>
        <v/>
      </c>
      <c r="I41" s="12">
        <f>H41/(E41/1000*F41/1000)</f>
        <v/>
      </c>
      <c r="J41" s="11" t="n">
        <v>1.4</v>
      </c>
    </row>
    <row r="42">
      <c r="A42" s="9" t="inlineStr">
        <is>
          <t>1.4404</t>
        </is>
      </c>
      <c r="B42" s="14" t="n">
        <v>6</v>
      </c>
      <c r="C42" s="10" t="n">
        <v>8000</v>
      </c>
      <c r="D42" s="11" t="n">
        <v>12.5</v>
      </c>
      <c r="E42" s="10" t="n">
        <v>2000</v>
      </c>
      <c r="F42" s="10" t="n">
        <v>1000</v>
      </c>
      <c r="G42" s="15">
        <f>E42/1000*F42/1000*B42/1000*C42</f>
        <v/>
      </c>
      <c r="H42" s="12">
        <f>G42*D42</f>
        <v/>
      </c>
      <c r="I42" s="12">
        <f>H42/(E42/1000*F42/1000)</f>
        <v/>
      </c>
      <c r="J42" s="11" t="n">
        <v>1.4</v>
      </c>
    </row>
    <row r="43">
      <c r="A43" s="9" t="inlineStr">
        <is>
          <t>EN AW-5754 (AlMg3)</t>
        </is>
      </c>
      <c r="B43" s="14" t="n">
        <v>1</v>
      </c>
      <c r="C43" s="10" t="n">
        <v>2660</v>
      </c>
      <c r="D43" s="11" t="n">
        <v>6.5</v>
      </c>
      <c r="E43" s="10" t="n">
        <v>2000</v>
      </c>
      <c r="F43" s="10" t="n">
        <v>1000</v>
      </c>
      <c r="G43" s="15">
        <f>E43/1000*F43/1000*B43/1000*C43</f>
        <v/>
      </c>
      <c r="H43" s="12">
        <f>G43*D43</f>
        <v/>
      </c>
      <c r="I43" s="12">
        <f>H43/(E43/1000*F43/1000)</f>
        <v/>
      </c>
      <c r="J43" s="11" t="n">
        <v>1.1</v>
      </c>
    </row>
    <row r="44">
      <c r="A44" s="9" t="inlineStr">
        <is>
          <t>EN AW-5754 (AlMg3)</t>
        </is>
      </c>
      <c r="B44" s="14" t="n">
        <v>1.5</v>
      </c>
      <c r="C44" s="10" t="n">
        <v>2660</v>
      </c>
      <c r="D44" s="11" t="n">
        <v>6.5</v>
      </c>
      <c r="E44" s="10" t="n">
        <v>2000</v>
      </c>
      <c r="F44" s="10" t="n">
        <v>1000</v>
      </c>
      <c r="G44" s="15">
        <f>E44/1000*F44/1000*B44/1000*C44</f>
        <v/>
      </c>
      <c r="H44" s="12">
        <f>G44*D44</f>
        <v/>
      </c>
      <c r="I44" s="12">
        <f>H44/(E44/1000*F44/1000)</f>
        <v/>
      </c>
      <c r="J44" s="11" t="n">
        <v>1.1</v>
      </c>
    </row>
    <row r="45">
      <c r="A45" s="9" t="inlineStr">
        <is>
          <t>EN AW-5754 (AlMg3)</t>
        </is>
      </c>
      <c r="B45" s="14" t="n">
        <v>2</v>
      </c>
      <c r="C45" s="10" t="n">
        <v>2660</v>
      </c>
      <c r="D45" s="11" t="n">
        <v>6.5</v>
      </c>
      <c r="E45" s="10" t="n">
        <v>2000</v>
      </c>
      <c r="F45" s="10" t="n">
        <v>1000</v>
      </c>
      <c r="G45" s="15">
        <f>E45/1000*F45/1000*B45/1000*C45</f>
        <v/>
      </c>
      <c r="H45" s="12">
        <f>G45*D45</f>
        <v/>
      </c>
      <c r="I45" s="12">
        <f>H45/(E45/1000*F45/1000)</f>
        <v/>
      </c>
      <c r="J45" s="11" t="n">
        <v>1.1</v>
      </c>
    </row>
    <row r="46">
      <c r="A46" s="9" t="inlineStr">
        <is>
          <t>EN AW-5754 (AlMg3)</t>
        </is>
      </c>
      <c r="B46" s="14" t="n">
        <v>3</v>
      </c>
      <c r="C46" s="10" t="n">
        <v>2660</v>
      </c>
      <c r="D46" s="11" t="n">
        <v>6.5</v>
      </c>
      <c r="E46" s="10" t="n">
        <v>2000</v>
      </c>
      <c r="F46" s="10" t="n">
        <v>1000</v>
      </c>
      <c r="G46" s="15">
        <f>E46/1000*F46/1000*B46/1000*C46</f>
        <v/>
      </c>
      <c r="H46" s="12">
        <f>G46*D46</f>
        <v/>
      </c>
      <c r="I46" s="12">
        <f>H46/(E46/1000*F46/1000)</f>
        <v/>
      </c>
      <c r="J46" s="11" t="n">
        <v>1.1</v>
      </c>
    </row>
    <row r="47">
      <c r="A47" s="9" t="inlineStr">
        <is>
          <t>EN AW-5754 (AlMg3)</t>
        </is>
      </c>
      <c r="B47" s="14" t="n">
        <v>4</v>
      </c>
      <c r="C47" s="10" t="n">
        <v>2660</v>
      </c>
      <c r="D47" s="11" t="n">
        <v>6.5</v>
      </c>
      <c r="E47" s="10" t="n">
        <v>2000</v>
      </c>
      <c r="F47" s="10" t="n">
        <v>1000</v>
      </c>
      <c r="G47" s="15">
        <f>E47/1000*F47/1000*B47/1000*C47</f>
        <v/>
      </c>
      <c r="H47" s="12">
        <f>G47*D47</f>
        <v/>
      </c>
      <c r="I47" s="12">
        <f>H47/(E47/1000*F47/1000)</f>
        <v/>
      </c>
      <c r="J47" s="11" t="n">
        <v>1.1</v>
      </c>
    </row>
    <row r="48">
      <c r="A48" s="9" t="inlineStr">
        <is>
          <t>EN AW-5754 (AlMg3)</t>
        </is>
      </c>
      <c r="B48" s="14" t="n">
        <v>5</v>
      </c>
      <c r="C48" s="10" t="n">
        <v>2660</v>
      </c>
      <c r="D48" s="11" t="n">
        <v>6.5</v>
      </c>
      <c r="E48" s="10" t="n">
        <v>2000</v>
      </c>
      <c r="F48" s="10" t="n">
        <v>1000</v>
      </c>
      <c r="G48" s="15">
        <f>E48/1000*F48/1000*B48/1000*C48</f>
        <v/>
      </c>
      <c r="H48" s="12">
        <f>G48*D48</f>
        <v/>
      </c>
      <c r="I48" s="12">
        <f>H48/(E48/1000*F48/1000)</f>
        <v/>
      </c>
      <c r="J48" s="11" t="n">
        <v>1.1</v>
      </c>
    </row>
    <row r="49">
      <c r="A49" s="9" t="inlineStr">
        <is>
          <t>EN AW-5754 (AlMg3)</t>
        </is>
      </c>
      <c r="B49" s="14" t="n">
        <v>6</v>
      </c>
      <c r="C49" s="10" t="n">
        <v>2660</v>
      </c>
      <c r="D49" s="11" t="n">
        <v>6.5</v>
      </c>
      <c r="E49" s="10" t="n">
        <v>2000</v>
      </c>
      <c r="F49" s="10" t="n">
        <v>1000</v>
      </c>
      <c r="G49" s="15">
        <f>E49/1000*F49/1000*B49/1000*C49</f>
        <v/>
      </c>
      <c r="H49" s="12">
        <f>G49*D49</f>
        <v/>
      </c>
      <c r="I49" s="12">
        <f>H49/(E49/1000*F49/1000)</f>
        <v/>
      </c>
      <c r="J49" s="11" t="n">
        <v>1.1</v>
      </c>
    </row>
    <row r="50">
      <c r="A50" s="9" t="inlineStr">
        <is>
          <t>EN AW-5754 (AlMg3)</t>
        </is>
      </c>
      <c r="B50" s="14" t="n">
        <v>8</v>
      </c>
      <c r="C50" s="10" t="n">
        <v>2660</v>
      </c>
      <c r="D50" s="11" t="n">
        <v>6.5</v>
      </c>
      <c r="E50" s="10" t="n">
        <v>2000</v>
      </c>
      <c r="F50" s="10" t="n">
        <v>1000</v>
      </c>
      <c r="G50" s="15">
        <f>E50/1000*F50/1000*B50/1000*C50</f>
        <v/>
      </c>
      <c r="H50" s="12">
        <f>G50*D50</f>
        <v/>
      </c>
      <c r="I50" s="12">
        <f>H50/(E50/1000*F50/1000)</f>
        <v/>
      </c>
      <c r="J50" s="11" t="n">
        <v>1.1</v>
      </c>
    </row>
    <row r="51">
      <c r="A51" s="9" t="inlineStr">
        <is>
          <t>EN AW-5754 (AlMg3)</t>
        </is>
      </c>
      <c r="B51" s="14" t="n">
        <v>10</v>
      </c>
      <c r="C51" s="10" t="n">
        <v>2660</v>
      </c>
      <c r="D51" s="11" t="n">
        <v>6.5</v>
      </c>
      <c r="E51" s="10" t="n">
        <v>2000</v>
      </c>
      <c r="F51" s="10" t="n">
        <v>1000</v>
      </c>
      <c r="G51" s="15">
        <f>E51/1000*F51/1000*B51/1000*C51</f>
        <v/>
      </c>
      <c r="H51" s="12">
        <f>G51*D51</f>
        <v/>
      </c>
      <c r="I51" s="12">
        <f>H51/(E51/1000*F51/1000)</f>
        <v/>
      </c>
      <c r="J51" s="11" t="n">
        <v>1.1</v>
      </c>
    </row>
    <row r="53">
      <c r="A53" s="7" t="inlineStr">
        <is>
          <t>Tafelgewicht/Tafelpreis sind berechnet – in der Vorlage werden je nach Version Tafelformat und €/kg eingetragen.</t>
        </is>
      </c>
    </row>
    <row r="54">
      <c r="A54" s="7" t="inlineStr">
        <is>
          <t>Verschnitt bildet Costing über die Schachtelung der Blechtafel ab; hier keinen Verschnittzuschlag einrechnen.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Maschinenstundensätze Deutschland 2026</t>
        </is>
      </c>
    </row>
    <row r="2">
      <c r="A2" s="7" t="inlineStr">
        <is>
          <t>inkl. Bediener, Energie, Werkzeugverschleiß und Abschreibung – ohne Gewinn und Verwaltungsgemeinkosten.</t>
        </is>
      </c>
    </row>
    <row r="4" ht="30" customHeight="1">
      <c r="A4" s="8" t="inlineStr">
        <is>
          <t>Verfahren / Maschine</t>
        </is>
      </c>
      <c r="B4" s="8" t="inlineStr">
        <is>
          <t>Spanne min [€/h]</t>
        </is>
      </c>
      <c r="C4" s="8" t="inlineStr">
        <is>
          <t>Spanne max [€/h]</t>
        </is>
      </c>
      <c r="D4" s="8" t="inlineStr">
        <is>
          <t>Startwert [€/h]</t>
        </is>
      </c>
      <c r="E4" s="8" t="inlineStr">
        <is>
          <t>Startwert [€/min]</t>
        </is>
      </c>
      <c r="F4" s="8" t="inlineStr">
        <is>
          <t>Hinweis</t>
        </is>
      </c>
    </row>
    <row r="5">
      <c r="A5" s="9" t="inlineStr">
        <is>
          <t>Bearbeitungszentrum 3-Achs</t>
        </is>
      </c>
      <c r="B5" s="11" t="n">
        <v>70</v>
      </c>
      <c r="C5" s="11" t="n">
        <v>100</v>
      </c>
      <c r="D5" s="16" t="n">
        <v>85</v>
      </c>
      <c r="E5" s="17">
        <f>D5/60</f>
        <v/>
      </c>
      <c r="F5" s="13" t="inlineStr">
        <is>
          <t>Standard-Frästeile</t>
        </is>
      </c>
    </row>
    <row r="6">
      <c r="A6" s="9" t="inlineStr">
        <is>
          <t>Bearbeitungszentrum 5-Achs</t>
        </is>
      </c>
      <c r="B6" s="11" t="n">
        <v>100</v>
      </c>
      <c r="C6" s="11" t="n">
        <v>150</v>
      </c>
      <c r="D6" s="16" t="n">
        <v>115</v>
      </c>
      <c r="E6" s="17">
        <f>D6/60</f>
        <v/>
      </c>
      <c r="F6" s="13" t="inlineStr">
        <is>
          <t>Komplexteile, weniger Aufspannungen</t>
        </is>
      </c>
    </row>
    <row r="7">
      <c r="A7" s="9" t="inlineStr">
        <is>
          <t>CNC-Drehen 2-Achs</t>
        </is>
      </c>
      <c r="B7" s="11" t="n">
        <v>60</v>
      </c>
      <c r="C7" s="11" t="n">
        <v>90</v>
      </c>
      <c r="D7" s="16" t="n">
        <v>75</v>
      </c>
      <c r="E7" s="17">
        <f>D7/60</f>
        <v/>
      </c>
      <c r="F7" s="13" t="inlineStr">
        <is>
          <t>Futter-/Wellenteile</t>
        </is>
      </c>
    </row>
    <row r="8">
      <c r="A8" s="9" t="inlineStr">
        <is>
          <t>CNC-Drehen mit angetriebenen Werkzeugen</t>
        </is>
      </c>
      <c r="B8" s="11" t="n">
        <v>85</v>
      </c>
      <c r="C8" s="11" t="n">
        <v>115</v>
      </c>
      <c r="D8" s="16" t="n">
        <v>95</v>
      </c>
      <c r="E8" s="17">
        <f>D8/60</f>
        <v/>
      </c>
      <c r="F8" s="13" t="inlineStr">
        <is>
          <t>Komplettbearbeitung</t>
        </is>
      </c>
    </row>
    <row r="9">
      <c r="A9" s="9" t="inlineStr">
        <is>
          <t>Langdrehautomat</t>
        </is>
      </c>
      <c r="B9" s="11" t="n">
        <v>70</v>
      </c>
      <c r="C9" s="11" t="n">
        <v>100</v>
      </c>
      <c r="D9" s="16" t="n">
        <v>85</v>
      </c>
      <c r="E9" s="17">
        <f>D9/60</f>
        <v/>
      </c>
      <c r="F9" s="13" t="inlineStr">
        <is>
          <t>Serienkleinteile</t>
        </is>
      </c>
    </row>
    <row r="10">
      <c r="A10" s="9" t="inlineStr">
        <is>
          <t>Säge / Trennen</t>
        </is>
      </c>
      <c r="B10" s="11" t="n">
        <v>40</v>
      </c>
      <c r="C10" s="11" t="n">
        <v>60</v>
      </c>
      <c r="D10" s="16" t="n">
        <v>50</v>
      </c>
      <c r="E10" s="17">
        <f>D10/60</f>
        <v/>
      </c>
      <c r="F10" s="13" t="inlineStr">
        <is>
          <t>Rohteilzuschnitt</t>
        </is>
      </c>
    </row>
    <row r="11">
      <c r="A11" s="9" t="inlineStr">
        <is>
          <t>Faserlaser 4–6 kW</t>
        </is>
      </c>
      <c r="B11" s="11" t="n">
        <v>130</v>
      </c>
      <c r="C11" s="11" t="n">
        <v>180</v>
      </c>
      <c r="D11" s="16" t="n">
        <v>150</v>
      </c>
      <c r="E11" s="17">
        <f>D11/60</f>
        <v/>
      </c>
      <c r="F11" s="13" t="inlineStr">
        <is>
          <t>Streuung am Markt 40–300 €/h, Mittelwert ~137 €/h</t>
        </is>
      </c>
    </row>
    <row r="12">
      <c r="A12" s="9" t="inlineStr">
        <is>
          <t>Stanz-/Nibbelmaschine</t>
        </is>
      </c>
      <c r="B12" s="11" t="n">
        <v>90</v>
      </c>
      <c r="C12" s="11" t="n">
        <v>130</v>
      </c>
      <c r="D12" s="16" t="n">
        <v>110</v>
      </c>
      <c r="E12" s="17">
        <f>D12/60</f>
        <v/>
      </c>
      <c r="F12" s="13" t="inlineStr">
        <is>
          <t>nur bei vorhandenem Werkzeugsatz</t>
        </is>
      </c>
    </row>
    <row r="13">
      <c r="A13" s="9" t="inlineStr">
        <is>
          <t>Abkantpresse</t>
        </is>
      </c>
      <c r="B13" s="11" t="n">
        <v>70</v>
      </c>
      <c r="C13" s="11" t="n">
        <v>95</v>
      </c>
      <c r="D13" s="16" t="n">
        <v>80</v>
      </c>
      <c r="E13" s="17">
        <f>D13/60</f>
        <v/>
      </c>
      <c r="F13" s="13" t="inlineStr">
        <is>
          <t>Basis für alle Biegekosten</t>
        </is>
      </c>
    </row>
    <row r="14">
      <c r="A14" s="9" t="inlineStr">
        <is>
          <t>Entgraten / Schleifen manuell</t>
        </is>
      </c>
      <c r="B14" s="11" t="n">
        <v>45</v>
      </c>
      <c r="C14" s="11" t="n">
        <v>65</v>
      </c>
      <c r="D14" s="16" t="n">
        <v>55</v>
      </c>
      <c r="E14" s="17">
        <f>D14/60</f>
        <v/>
      </c>
      <c r="F14" s="13" t="inlineStr">
        <is>
          <t>Handarbeitsplatz</t>
        </is>
      </c>
    </row>
    <row r="15">
      <c r="A15" s="9" t="inlineStr">
        <is>
          <t>Schweißen MAG/WIG</t>
        </is>
      </c>
      <c r="B15" s="11" t="n">
        <v>55</v>
      </c>
      <c r="C15" s="11" t="n">
        <v>80</v>
      </c>
      <c r="D15" s="16" t="n">
        <v>65</v>
      </c>
      <c r="E15" s="17">
        <f>D15/60</f>
        <v/>
      </c>
      <c r="F15" s="13" t="inlineStr">
        <is>
          <t>inkl. Zusatzwerkstoff-Umlage</t>
        </is>
      </c>
    </row>
    <row r="16">
      <c r="A16" s="9" t="inlineStr">
        <is>
          <t>Montage / Handarbeitsplatz</t>
        </is>
      </c>
      <c r="B16" s="11" t="n">
        <v>45</v>
      </c>
      <c r="C16" s="11" t="n">
        <v>65</v>
      </c>
      <c r="D16" s="16" t="n">
        <v>55</v>
      </c>
      <c r="E16" s="17">
        <f>D16/60</f>
        <v/>
      </c>
      <c r="F16" s="13" t="inlineStr">
        <is>
          <t>Baugruppenmontage</t>
        </is>
      </c>
    </row>
    <row r="17">
      <c r="A17" s="9" t="inlineStr">
        <is>
          <t>Messraum / Prüfung</t>
        </is>
      </c>
      <c r="B17" s="11" t="n">
        <v>70</v>
      </c>
      <c r="C17" s="11" t="n">
        <v>95</v>
      </c>
      <c r="D17" s="16" t="n">
        <v>80</v>
      </c>
      <c r="E17" s="17">
        <f>D17/60</f>
        <v/>
      </c>
      <c r="F17" s="13" t="inlineStr">
        <is>
          <t>3D-Messmaschine inkl. Bediener</t>
        </is>
      </c>
    </row>
    <row r="19">
      <c r="A19" s="7" t="inlineStr">
        <is>
          <t>Gelb = zentrale Annahme. Diese Werte zuerst mit der eigenen Kostenrechnung abgleichen.</t>
        </is>
      </c>
    </row>
    <row r="20">
      <c r="A20" s="7" t="inlineStr">
        <is>
          <t>Maschinen in der Vorlage mit den realen Anlagennamen benennen (z. B. 'DMU 50', 'TruLaser 3030').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Rüstzeiten und Rüstkosten je Los</t>
        </is>
      </c>
    </row>
    <row r="2">
      <c r="A2" s="7" t="inlineStr">
        <is>
          <t>Rüstkosten werden in Costing über die Losgröße auf das Einzelteil verteilt.</t>
        </is>
      </c>
    </row>
    <row r="4" ht="30" customHeight="1">
      <c r="A4" s="8" t="inlineStr">
        <is>
          <t>Vorgang</t>
        </is>
      </c>
      <c r="B4" s="8" t="inlineStr">
        <is>
          <t>Bezug</t>
        </is>
      </c>
      <c r="C4" s="8" t="inlineStr">
        <is>
          <t>Zeit [min]</t>
        </is>
      </c>
      <c r="D4" s="8" t="inlineStr">
        <is>
          <t>Stundensatz [€/h]</t>
        </is>
      </c>
      <c r="E4" s="8" t="inlineStr">
        <is>
          <t>Rüstkosten [€]</t>
        </is>
      </c>
      <c r="F4" s="8" t="inlineStr">
        <is>
          <t>Hinweis</t>
        </is>
      </c>
    </row>
    <row r="5">
      <c r="A5" s="9" t="inlineStr">
        <is>
          <t>Fräsen – je Aufspannung</t>
        </is>
      </c>
      <c r="B5" s="9" t="inlineStr">
        <is>
          <t>je Aufspannung</t>
        </is>
      </c>
      <c r="C5" s="10" t="n">
        <v>45</v>
      </c>
      <c r="D5" s="11" t="n">
        <v>85</v>
      </c>
      <c r="E5" s="12">
        <f>C5/60*D5</f>
        <v/>
      </c>
      <c r="F5" s="13" t="inlineStr">
        <is>
          <t>3-Achs-BAZ, inkl. Nullpunkt und Erstteil</t>
        </is>
      </c>
    </row>
    <row r="6">
      <c r="A6" s="9" t="inlineStr">
        <is>
          <t>Fräsen – zusätzlicher Werkzeugwechsel</t>
        </is>
      </c>
      <c r="B6" s="9" t="inlineStr">
        <is>
          <t>je Werkzeug</t>
        </is>
      </c>
      <c r="C6" s="10" t="n">
        <v>3</v>
      </c>
      <c r="D6" s="11" t="n">
        <v>85</v>
      </c>
      <c r="E6" s="12">
        <f>C6/60*D6</f>
        <v/>
      </c>
      <c r="F6" s="13" t="inlineStr">
        <is>
          <t>nur bei Werkzeugen außerhalb des Standardsatzes</t>
        </is>
      </c>
    </row>
    <row r="7">
      <c r="A7" s="9" t="inlineStr">
        <is>
          <t>Drehen – je Aufspannung</t>
        </is>
      </c>
      <c r="B7" s="9" t="inlineStr">
        <is>
          <t>je Aufspannung</t>
        </is>
      </c>
      <c r="C7" s="10" t="n">
        <v>30</v>
      </c>
      <c r="D7" s="11" t="n">
        <v>75</v>
      </c>
      <c r="E7" s="12">
        <f>C7/60*D7</f>
        <v/>
      </c>
      <c r="F7" s="13" t="inlineStr">
        <is>
          <t>inkl. Backenwechsel</t>
        </is>
      </c>
    </row>
    <row r="8">
      <c r="A8" s="9" t="inlineStr">
        <is>
          <t>Sägen – Rohteilzuschnitt</t>
        </is>
      </c>
      <c r="B8" s="9" t="inlineStr">
        <is>
          <t>je Los</t>
        </is>
      </c>
      <c r="C8" s="10" t="n">
        <v>10</v>
      </c>
      <c r="D8" s="11" t="n">
        <v>50</v>
      </c>
      <c r="E8" s="12">
        <f>C8/60*D8</f>
        <v/>
      </c>
      <c r="F8" s="13" t="inlineStr"/>
    </row>
    <row r="9">
      <c r="A9" s="9" t="inlineStr">
        <is>
          <t>Laserschneiden – je Programm/Tafel</t>
        </is>
      </c>
      <c r="B9" s="9" t="inlineStr">
        <is>
          <t>je Tafel</t>
        </is>
      </c>
      <c r="C9" s="10" t="n">
        <v>10</v>
      </c>
      <c r="D9" s="11" t="n">
        <v>150</v>
      </c>
      <c r="E9" s="12">
        <f>C9/60*D9</f>
        <v/>
      </c>
      <c r="F9" s="13" t="inlineStr">
        <is>
          <t>Schachtelung und Materialwechsel</t>
        </is>
      </c>
    </row>
    <row r="10">
      <c r="A10" s="9" t="inlineStr">
        <is>
          <t>Stanzen – Werkzeugsatz rüsten</t>
        </is>
      </c>
      <c r="B10" s="9" t="inlineStr">
        <is>
          <t>je Los</t>
        </is>
      </c>
      <c r="C10" s="10" t="n">
        <v>25</v>
      </c>
      <c r="D10" s="11" t="n">
        <v>110</v>
      </c>
      <c r="E10" s="12">
        <f>C10/60*D10</f>
        <v/>
      </c>
      <c r="F10" s="13" t="inlineStr"/>
    </row>
    <row r="11">
      <c r="A11" s="9" t="inlineStr">
        <is>
          <t>Abkanten – Grundrüsten</t>
        </is>
      </c>
      <c r="B11" s="9" t="inlineStr">
        <is>
          <t>je Los</t>
        </is>
      </c>
      <c r="C11" s="10" t="n">
        <v>15</v>
      </c>
      <c r="D11" s="11" t="n">
        <v>80</v>
      </c>
      <c r="E11" s="12">
        <f>C11/60*D11</f>
        <v/>
      </c>
      <c r="F11" s="13" t="inlineStr"/>
    </row>
    <row r="12">
      <c r="A12" s="9" t="inlineStr">
        <is>
          <t>Abkanten – je zusätzliches Biegewerkzeug</t>
        </is>
      </c>
      <c r="B12" s="9" t="inlineStr">
        <is>
          <t>je Werkzeug</t>
        </is>
      </c>
      <c r="C12" s="10" t="n">
        <v>6</v>
      </c>
      <c r="D12" s="11" t="n">
        <v>80</v>
      </c>
      <c r="E12" s="12">
        <f>C12/60*D12</f>
        <v/>
      </c>
      <c r="F12" s="13" t="inlineStr"/>
    </row>
    <row r="13">
      <c r="A13" s="9" t="inlineStr">
        <is>
          <t>Schweißvorrichtung einrichten</t>
        </is>
      </c>
      <c r="B13" s="9" t="inlineStr">
        <is>
          <t>je Los</t>
        </is>
      </c>
      <c r="C13" s="10" t="n">
        <v>20</v>
      </c>
      <c r="D13" s="11" t="n">
        <v>65</v>
      </c>
      <c r="E13" s="12">
        <f>C13/60*D13</f>
        <v/>
      </c>
      <c r="F13" s="13" t="inlineStr"/>
    </row>
    <row r="14">
      <c r="A14" s="9" t="inlineStr">
        <is>
          <t>Pulverbeschichtung – Los anmelden/aufhängen</t>
        </is>
      </c>
      <c r="B14" s="9" t="inlineStr">
        <is>
          <t>je Los</t>
        </is>
      </c>
      <c r="C14" s="10" t="n">
        <v>20</v>
      </c>
      <c r="D14" s="11" t="n">
        <v>55</v>
      </c>
      <c r="E14" s="12">
        <f>C14/60*D14</f>
        <v/>
      </c>
      <c r="F14" s="13" t="inlineStr">
        <is>
          <t>zzgl. Mindestlospreis des Beschichters</t>
        </is>
      </c>
    </row>
    <row r="15">
      <c r="A15" s="9" t="inlineStr">
        <is>
          <t>Messmittel/Prüfplan einrichten</t>
        </is>
      </c>
      <c r="B15" s="9" t="inlineStr">
        <is>
          <t>je Los</t>
        </is>
      </c>
      <c r="C15" s="10" t="n">
        <v>15</v>
      </c>
      <c r="D15" s="11" t="n">
        <v>80</v>
      </c>
      <c r="E15" s="12">
        <f>C15/60*D15</f>
        <v/>
      </c>
      <c r="F15" s="13" t="inlineStr"/>
    </row>
    <row r="17">
      <c r="A17" s="7" t="inlineStr">
        <is>
          <t>Stundensätze aus Blatt 20 übernommen – bei Änderung dort hier nachziehen.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9" customWidth="1" min="5" max="5"/>
    <col width="17" customWidth="1" min="6" max="6"/>
    <col width="18" customWidth="1" min="7" max="7"/>
    <col width="34" customWidth="1" min="8" max="8"/>
  </cols>
  <sheetData>
    <row r="1">
      <c r="A1" s="1" t="inlineStr">
        <is>
          <t>Zeitspanvolumen und Bohrvorschübe für die Zerspanungsvorlage</t>
        </is>
      </c>
    </row>
    <row r="2">
      <c r="A2" s="7" t="inlineStr">
        <is>
          <t>Nicht das Spitzen-MRR des Werkzeugherstellers eintragen, sondern den effektiven Wert inkl. Luftschnitten, Werkzeugwechseln und Schlichtanteil (Faustregel: Schruppwert × 0,4–0,5).</t>
        </is>
      </c>
    </row>
    <row r="4" ht="30" customHeight="1">
      <c r="A4" s="8" t="inlineStr">
        <is>
          <t>Materialklasse</t>
        </is>
      </c>
      <c r="B4" s="8" t="inlineStr">
        <is>
          <t>Schruppen min [cm³/min]</t>
        </is>
      </c>
      <c r="C4" s="8" t="inlineStr">
        <is>
          <t>Schruppen max [cm³/min]</t>
        </is>
      </c>
      <c r="D4" s="8" t="inlineStr">
        <is>
          <t>Schlichten [cm³/min]</t>
        </is>
      </c>
      <c r="E4" s="8" t="inlineStr">
        <is>
          <t>Startwert effektiv [cm³/min]</t>
        </is>
      </c>
      <c r="F4" s="8" t="inlineStr">
        <is>
          <t>Bohrvorschub [mm/min]</t>
        </is>
      </c>
      <c r="G4" s="8" t="inlineStr">
        <is>
          <t>Kosten je cm³ bei 85 €/h</t>
        </is>
      </c>
      <c r="H4" s="8" t="inlineStr">
        <is>
          <t>Hinweis</t>
        </is>
      </c>
    </row>
    <row r="5">
      <c r="A5" s="9" t="inlineStr">
        <is>
          <t>Aluminium</t>
        </is>
      </c>
      <c r="B5" s="10" t="n">
        <v>150</v>
      </c>
      <c r="C5" s="10" t="n">
        <v>400</v>
      </c>
      <c r="D5" s="10" t="n">
        <v>30</v>
      </c>
      <c r="E5" s="18" t="n">
        <v>120</v>
      </c>
      <c r="F5" s="10" t="n">
        <v>500</v>
      </c>
      <c r="G5" s="17">
        <f>85/60/E5</f>
        <v/>
      </c>
      <c r="H5" s="13" t="inlineStr">
        <is>
          <t>6082/5754, HSC-fähig</t>
        </is>
      </c>
    </row>
    <row r="6">
      <c r="A6" s="9" t="inlineStr">
        <is>
          <t>Baustahl / Automatenstahl</t>
        </is>
      </c>
      <c r="B6" s="10" t="n">
        <v>40</v>
      </c>
      <c r="C6" s="10" t="n">
        <v>80</v>
      </c>
      <c r="D6" s="10" t="n">
        <v>12</v>
      </c>
      <c r="E6" s="18" t="n">
        <v>35</v>
      </c>
      <c r="F6" s="10" t="n">
        <v>180</v>
      </c>
      <c r="G6" s="17">
        <f>85/60/E6</f>
        <v/>
      </c>
      <c r="H6" s="13" t="inlineStr">
        <is>
          <t>S235, 11SMn30</t>
        </is>
      </c>
    </row>
    <row r="7">
      <c r="A7" s="9" t="inlineStr">
        <is>
          <t>Vergütungsstahl</t>
        </is>
      </c>
      <c r="B7" s="10" t="n">
        <v>25</v>
      </c>
      <c r="C7" s="10" t="n">
        <v>50</v>
      </c>
      <c r="D7" s="10" t="n">
        <v>8</v>
      </c>
      <c r="E7" s="18" t="n">
        <v>22</v>
      </c>
      <c r="F7" s="10" t="n">
        <v>140</v>
      </c>
      <c r="G7" s="17">
        <f>85/60/E7</f>
        <v/>
      </c>
      <c r="H7" s="13" t="inlineStr">
        <is>
          <t>42CrMo4, 16MnCr5</t>
        </is>
      </c>
    </row>
    <row r="8">
      <c r="A8" s="9" t="inlineStr">
        <is>
          <t>Edelstahl</t>
        </is>
      </c>
      <c r="B8" s="10" t="n">
        <v>20</v>
      </c>
      <c r="C8" s="10" t="n">
        <v>40</v>
      </c>
      <c r="D8" s="10" t="n">
        <v>6</v>
      </c>
      <c r="E8" s="18" t="n">
        <v>16</v>
      </c>
      <c r="F8" s="10" t="n">
        <v>110</v>
      </c>
      <c r="G8" s="17">
        <f>85/60/E8</f>
        <v/>
      </c>
      <c r="H8" s="13" t="inlineStr">
        <is>
          <t>1.4301/1.4404, kühlmittelintensiv</t>
        </is>
      </c>
    </row>
    <row r="9">
      <c r="A9" s="9" t="inlineStr">
        <is>
          <t>Titan</t>
        </is>
      </c>
      <c r="B9" s="10" t="n">
        <v>8</v>
      </c>
      <c r="C9" s="10" t="n">
        <v>15</v>
      </c>
      <c r="D9" s="10" t="n">
        <v>3</v>
      </c>
      <c r="E9" s="18" t="n">
        <v>7</v>
      </c>
      <c r="F9" s="10" t="n">
        <v>60</v>
      </c>
      <c r="G9" s="17">
        <f>85/60/E9</f>
        <v/>
      </c>
      <c r="H9" s="13" t="inlineStr">
        <is>
          <t>geringe Schnittgeschwindigkeit</t>
        </is>
      </c>
    </row>
    <row r="10">
      <c r="A10" s="9" t="inlineStr">
        <is>
          <t>Kunststoff</t>
        </is>
      </c>
      <c r="B10" s="10" t="n">
        <v>300</v>
      </c>
      <c r="C10" s="10" t="n">
        <v>600</v>
      </c>
      <c r="D10" s="10" t="n">
        <v>60</v>
      </c>
      <c r="E10" s="18" t="n">
        <v>200</v>
      </c>
      <c r="F10" s="10" t="n">
        <v>600</v>
      </c>
      <c r="G10" s="17">
        <f>85/60/E10</f>
        <v/>
      </c>
      <c r="H10" s="13" t="inlineStr">
        <is>
          <t>POM, PA, PE</t>
        </is>
      </c>
    </row>
    <row r="11">
      <c r="A11" s="9" t="inlineStr">
        <is>
          <t>Guss</t>
        </is>
      </c>
      <c r="B11" s="10" t="n">
        <v>50</v>
      </c>
      <c r="C11" s="10" t="n">
        <v>90</v>
      </c>
      <c r="D11" s="10" t="n">
        <v>14</v>
      </c>
      <c r="E11" s="18" t="n">
        <v>40</v>
      </c>
      <c r="F11" s="10" t="n">
        <v>200</v>
      </c>
      <c r="G11" s="17">
        <f>85/60/E11</f>
        <v/>
      </c>
      <c r="H11" s="13" t="inlineStr">
        <is>
          <t>GG25, GGG40</t>
        </is>
      </c>
    </row>
    <row r="12">
      <c r="A12" s="9" t="inlineStr">
        <is>
          <t>Buntmetall</t>
        </is>
      </c>
      <c r="B12" s="10" t="n">
        <v>120</v>
      </c>
      <c r="C12" s="10" t="n">
        <v>300</v>
      </c>
      <c r="D12" s="10" t="n">
        <v>30</v>
      </c>
      <c r="E12" s="18" t="n">
        <v>100</v>
      </c>
      <c r="F12" s="10" t="n">
        <v>400</v>
      </c>
      <c r="G12" s="17">
        <f>85/60/E12</f>
        <v/>
      </c>
      <c r="H12" s="13" t="inlineStr">
        <is>
          <t>Messing, Bronze</t>
        </is>
      </c>
    </row>
    <row r="14">
      <c r="A14" s="7" t="inlineStr">
        <is>
          <t>Spalte G nur zur Plausibilitätsprüfung: Zerspankosten je cm³ abgetragenem Volumen (3-Achs-BAZ 85 €/h).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5" customWidth="1" min="5" max="5"/>
    <col width="20" customWidth="1" min="6" max="6"/>
    <col width="20" customWidth="1" min="7" max="7"/>
    <col width="18" customWidth="1" min="8" max="8"/>
  </cols>
  <sheetData>
    <row r="1">
      <c r="A1" s="1" t="inlineStr">
        <is>
          <t>Faserlaser 4–6 kW: Schnittgeschwindigkeiten, Einstechzeiten, Schnittkosten</t>
        </is>
      </c>
    </row>
    <row r="2">
      <c r="A2" s="7" t="inlineStr">
        <is>
          <t>Bewusst konservativ, weil Costing damit inkl. Beschleunigungs- und Konturverlusten rechnet. Referenz: 6 kW, 10 mm Edelstahl ≈ 2.000–2.500 mm/min; 20 mm Baustahl ≈ 950 mm/min.</t>
        </is>
      </c>
    </row>
    <row r="4" ht="30" customHeight="1">
      <c r="A4" s="8" t="inlineStr">
        <is>
          <t>Dicke [mm]</t>
        </is>
      </c>
      <c r="B4" s="8" t="inlineStr">
        <is>
          <t>S235 (O₂) [mm/min]</t>
        </is>
      </c>
      <c r="C4" s="8" t="inlineStr">
        <is>
          <t>1.4301 (N₂) [mm/min]</t>
        </is>
      </c>
      <c r="D4" s="8" t="inlineStr">
        <is>
          <t>AlMg3 (N₂) [mm/min]</t>
        </is>
      </c>
      <c r="E4" s="8" t="inlineStr">
        <is>
          <t>Einstechzeit [s]</t>
        </is>
      </c>
      <c r="F4" s="8" t="inlineStr">
        <is>
          <t>Schnittkosten S235 [€/m]</t>
        </is>
      </c>
      <c r="G4" s="8" t="inlineStr">
        <is>
          <t>Schnittkosten 1.4301 [€/m]</t>
        </is>
      </c>
      <c r="H4" s="8" t="inlineStr">
        <is>
          <t>Kosten je Einstich [€]</t>
        </is>
      </c>
    </row>
    <row r="5">
      <c r="A5" s="14" t="n">
        <v>1</v>
      </c>
      <c r="B5" s="10" t="n">
        <v>8000</v>
      </c>
      <c r="C5" s="10" t="n">
        <v>25000</v>
      </c>
      <c r="D5" s="10" t="n">
        <v>20000</v>
      </c>
      <c r="E5" s="14" t="n">
        <v>0.3</v>
      </c>
      <c r="F5" s="12">
        <f>1000/B5*'20_Maschinen_Stundensaetze'!$E$11</f>
        <v/>
      </c>
      <c r="G5" s="12">
        <f>1000/C5*'20_Maschinen_Stundensaetze'!$E$11</f>
        <v/>
      </c>
      <c r="H5" s="17">
        <f>E5/60*'20_Maschinen_Stundensaetze'!$E$11</f>
        <v/>
      </c>
    </row>
    <row r="6">
      <c r="A6" s="14" t="n">
        <v>1.5</v>
      </c>
      <c r="B6" s="10" t="n">
        <v>6500</v>
      </c>
      <c r="C6" s="10" t="n">
        <v>18000</v>
      </c>
      <c r="D6" s="10" t="n">
        <v>14000</v>
      </c>
      <c r="E6" s="14" t="n">
        <v>0.3</v>
      </c>
      <c r="F6" s="12">
        <f>1000/B6*'20_Maschinen_Stundensaetze'!$E$11</f>
        <v/>
      </c>
      <c r="G6" s="12">
        <f>1000/C6*'20_Maschinen_Stundensaetze'!$E$11</f>
        <v/>
      </c>
      <c r="H6" s="17">
        <f>E6/60*'20_Maschinen_Stundensaetze'!$E$11</f>
        <v/>
      </c>
    </row>
    <row r="7">
      <c r="A7" s="14" t="n">
        <v>2</v>
      </c>
      <c r="B7" s="10" t="n">
        <v>5000</v>
      </c>
      <c r="C7" s="10" t="n">
        <v>12000</v>
      </c>
      <c r="D7" s="10" t="n">
        <v>9500</v>
      </c>
      <c r="E7" s="14" t="n">
        <v>0.3</v>
      </c>
      <c r="F7" s="12">
        <f>1000/B7*'20_Maschinen_Stundensaetze'!$E$11</f>
        <v/>
      </c>
      <c r="G7" s="12">
        <f>1000/C7*'20_Maschinen_Stundensaetze'!$E$11</f>
        <v/>
      </c>
      <c r="H7" s="17">
        <f>E7/60*'20_Maschinen_Stundensaetze'!$E$11</f>
        <v/>
      </c>
    </row>
    <row r="8">
      <c r="A8" s="14" t="n">
        <v>3</v>
      </c>
      <c r="B8" s="10" t="n">
        <v>3200</v>
      </c>
      <c r="C8" s="10" t="n">
        <v>7000</v>
      </c>
      <c r="D8" s="10" t="n">
        <v>5500</v>
      </c>
      <c r="E8" s="14" t="n">
        <v>0.3</v>
      </c>
      <c r="F8" s="12">
        <f>1000/B8*'20_Maschinen_Stundensaetze'!$E$11</f>
        <v/>
      </c>
      <c r="G8" s="12">
        <f>1000/C8*'20_Maschinen_Stundensaetze'!$E$11</f>
        <v/>
      </c>
      <c r="H8" s="17">
        <f>E8/60*'20_Maschinen_Stundensaetze'!$E$11</f>
        <v/>
      </c>
    </row>
    <row r="9">
      <c r="A9" s="14" t="n">
        <v>4</v>
      </c>
      <c r="B9" s="10" t="n">
        <v>2600</v>
      </c>
      <c r="C9" s="10" t="n">
        <v>4800</v>
      </c>
      <c r="D9" s="10" t="n">
        <v>3800</v>
      </c>
      <c r="E9" s="14" t="n">
        <v>0.8</v>
      </c>
      <c r="F9" s="12">
        <f>1000/B9*'20_Maschinen_Stundensaetze'!$E$11</f>
        <v/>
      </c>
      <c r="G9" s="12">
        <f>1000/C9*'20_Maschinen_Stundensaetze'!$E$11</f>
        <v/>
      </c>
      <c r="H9" s="17">
        <f>E9/60*'20_Maschinen_Stundensaetze'!$E$11</f>
        <v/>
      </c>
    </row>
    <row r="10">
      <c r="A10" s="14" t="n">
        <v>5</v>
      </c>
      <c r="B10" s="10" t="n">
        <v>2200</v>
      </c>
      <c r="C10" s="10" t="n">
        <v>3600</v>
      </c>
      <c r="D10" s="10" t="n">
        <v>2800</v>
      </c>
      <c r="E10" s="14" t="n">
        <v>0.8</v>
      </c>
      <c r="F10" s="12">
        <f>1000/B10*'20_Maschinen_Stundensaetze'!$E$11</f>
        <v/>
      </c>
      <c r="G10" s="12">
        <f>1000/C10*'20_Maschinen_Stundensaetze'!$E$11</f>
        <v/>
      </c>
      <c r="H10" s="17">
        <f>E10/60*'20_Maschinen_Stundensaetze'!$E$11</f>
        <v/>
      </c>
    </row>
    <row r="11">
      <c r="A11" s="14" t="n">
        <v>6</v>
      </c>
      <c r="B11" s="10" t="n">
        <v>1900</v>
      </c>
      <c r="C11" s="10" t="n">
        <v>2900</v>
      </c>
      <c r="D11" s="10" t="n">
        <v>2200</v>
      </c>
      <c r="E11" s="14" t="n">
        <v>0.8</v>
      </c>
      <c r="F11" s="12">
        <f>1000/B11*'20_Maschinen_Stundensaetze'!$E$11</f>
        <v/>
      </c>
      <c r="G11" s="12">
        <f>1000/C11*'20_Maschinen_Stundensaetze'!$E$11</f>
        <v/>
      </c>
      <c r="H11" s="17">
        <f>E11/60*'20_Maschinen_Stundensaetze'!$E$11</f>
        <v/>
      </c>
    </row>
    <row r="12">
      <c r="A12" s="14" t="n">
        <v>8</v>
      </c>
      <c r="B12" s="10" t="n">
        <v>1500</v>
      </c>
      <c r="C12" s="10" t="n">
        <v>2100</v>
      </c>
      <c r="D12" s="10" t="n">
        <v>1500</v>
      </c>
      <c r="E12" s="14" t="n">
        <v>1.5</v>
      </c>
      <c r="F12" s="12">
        <f>1000/B12*'20_Maschinen_Stundensaetze'!$E$11</f>
        <v/>
      </c>
      <c r="G12" s="12">
        <f>1000/C12*'20_Maschinen_Stundensaetze'!$E$11</f>
        <v/>
      </c>
      <c r="H12" s="17">
        <f>E12/60*'20_Maschinen_Stundensaetze'!$E$11</f>
        <v/>
      </c>
    </row>
    <row r="13">
      <c r="A13" s="14" t="n">
        <v>10</v>
      </c>
      <c r="B13" s="10" t="n">
        <v>1250</v>
      </c>
      <c r="C13" s="10" t="n">
        <v>1600</v>
      </c>
      <c r="D13" s="10" t="n">
        <v>1000</v>
      </c>
      <c r="E13" s="14" t="n">
        <v>1.5</v>
      </c>
      <c r="F13" s="12">
        <f>1000/B13*'20_Maschinen_Stundensaetze'!$E$11</f>
        <v/>
      </c>
      <c r="G13" s="12">
        <f>1000/C13*'20_Maschinen_Stundensaetze'!$E$11</f>
        <v/>
      </c>
      <c r="H13" s="17">
        <f>E13/60*'20_Maschinen_Stundensaetze'!$E$11</f>
        <v/>
      </c>
    </row>
    <row r="14">
      <c r="A14" s="14" t="n">
        <v>12</v>
      </c>
      <c r="B14" s="10" t="n">
        <v>1000</v>
      </c>
      <c r="C14" s="10" t="n">
        <v>1150</v>
      </c>
      <c r="D14" s="10" t="n">
        <v>700</v>
      </c>
      <c r="E14" s="14" t="n">
        <v>2.5</v>
      </c>
      <c r="F14" s="12">
        <f>1000/B14*'20_Maschinen_Stundensaetze'!$E$11</f>
        <v/>
      </c>
      <c r="G14" s="12">
        <f>1000/C14*'20_Maschinen_Stundensaetze'!$E$11</f>
        <v/>
      </c>
      <c r="H14" s="17">
        <f>E14/60*'20_Maschinen_Stundensaetze'!$E$11</f>
        <v/>
      </c>
    </row>
    <row r="15">
      <c r="A15" s="14" t="n">
        <v>15</v>
      </c>
      <c r="B15" s="10" t="n">
        <v>800</v>
      </c>
      <c r="C15" s="10" t="n">
        <v>800</v>
      </c>
      <c r="D15" s="19" t="inlineStr">
        <is>
          <t>–</t>
        </is>
      </c>
      <c r="E15" s="14" t="n">
        <v>2.5</v>
      </c>
      <c r="F15" s="12">
        <f>1000/B15*'20_Maschinen_Stundensaetze'!$E$11</f>
        <v/>
      </c>
      <c r="G15" s="12">
        <f>1000/C15*'20_Maschinen_Stundensaetze'!$E$11</f>
        <v/>
      </c>
      <c r="H15" s="17">
        <f>E15/60*'20_Maschinen_Stundensaetze'!$E$11</f>
        <v/>
      </c>
    </row>
    <row r="16">
      <c r="A16" s="14" t="n">
        <v>20</v>
      </c>
      <c r="B16" s="10" t="n">
        <v>600</v>
      </c>
      <c r="C16" s="19" t="inlineStr">
        <is>
          <t>–</t>
        </is>
      </c>
      <c r="D16" s="19" t="inlineStr">
        <is>
          <t>–</t>
        </is>
      </c>
      <c r="E16" s="14" t="n">
        <v>4</v>
      </c>
      <c r="F16" s="12">
        <f>1000/B16*'20_Maschinen_Stundensaetze'!$E$11</f>
        <v/>
      </c>
      <c r="G16" s="19" t="inlineStr">
        <is>
          <t>–</t>
        </is>
      </c>
      <c r="H16" s="17">
        <f>E16/60*'20_Maschinen_Stundensaetze'!$E$11</f>
        <v/>
      </c>
    </row>
    <row r="18">
      <c r="A18" s="7" t="inlineStr">
        <is>
          <t>Schnittkosten = Schnittzeit × Laser-Minutensatz aus Blatt 20 (Zeile 'Faserlaser 4–6 kW').</t>
        </is>
      </c>
    </row>
    <row r="19">
      <c r="A19" s="7" t="inlineStr">
        <is>
          <t>Stanzen alternativ: 0,04–0,08 € je Standardhub, 0,15–0,30 € je Umformwerkzeug (Durchzug, Kieme).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40" customWidth="1" min="8" max="8"/>
  </cols>
  <sheetData>
    <row r="1">
      <c r="A1" s="1" t="inlineStr">
        <is>
          <t>Biegen / Abkanten – Zeiten und Kosten je Biegung</t>
        </is>
      </c>
    </row>
    <row r="2">
      <c r="A2" s="7" t="inlineStr">
        <is>
          <t>Kalkulationsbasis Abkantpresse 80 €/h. Mengeneffekte über die Losgröße abbilden, nicht über kleinere Biegepreise.</t>
        </is>
      </c>
    </row>
    <row r="4" ht="30" customHeight="1">
      <c r="A4" s="8" t="inlineStr">
        <is>
          <t>Teileklasse</t>
        </is>
      </c>
      <c r="B4" s="8" t="inlineStr">
        <is>
          <t>Kantenlänge</t>
        </is>
      </c>
      <c r="C4" s="8" t="inlineStr">
        <is>
          <t>Blechdicke</t>
        </is>
      </c>
      <c r="D4" s="8" t="inlineStr">
        <is>
          <t>Zeit je Biegung [min]</t>
        </is>
      </c>
      <c r="E4" s="8" t="inlineStr">
        <is>
          <t>Kosten je Biegung [€]</t>
        </is>
      </c>
      <c r="F4" s="8" t="inlineStr">
        <is>
          <t>Handling je Teil [min]</t>
        </is>
      </c>
      <c r="G4" s="8" t="inlineStr">
        <is>
          <t>Handling je Teil [€]</t>
        </is>
      </c>
      <c r="H4" s="8" t="inlineStr">
        <is>
          <t>Hinweis</t>
        </is>
      </c>
    </row>
    <row r="5">
      <c r="A5" s="9" t="inlineStr">
        <is>
          <t>klein</t>
        </is>
      </c>
      <c r="B5" s="9" t="inlineStr">
        <is>
          <t>&lt; 500 mm</t>
        </is>
      </c>
      <c r="C5" s="9" t="inlineStr">
        <is>
          <t>1–3 mm</t>
        </is>
      </c>
      <c r="D5" s="20" t="n">
        <v>0.15</v>
      </c>
      <c r="E5" s="12">
        <f>D5*'20_Maschinen_Stundensaetze'!$E$13</f>
        <v/>
      </c>
      <c r="F5" s="20" t="n">
        <v>0.2</v>
      </c>
      <c r="G5" s="12">
        <f>F5*'20_Maschinen_Stundensaetze'!$E$13</f>
        <v/>
      </c>
      <c r="H5" s="13" t="inlineStr">
        <is>
          <t>Einmannbedienung</t>
        </is>
      </c>
    </row>
    <row r="6">
      <c r="A6" s="9" t="inlineStr">
        <is>
          <t>mittel</t>
        </is>
      </c>
      <c r="B6" s="9" t="inlineStr">
        <is>
          <t>500–1.500 mm</t>
        </is>
      </c>
      <c r="C6" s="9" t="inlineStr">
        <is>
          <t>1–4 mm</t>
        </is>
      </c>
      <c r="D6" s="20" t="n">
        <v>0.26</v>
      </c>
      <c r="E6" s="12">
        <f>D6*'20_Maschinen_Stundensaetze'!$E$13</f>
        <v/>
      </c>
      <c r="F6" s="20" t="n">
        <v>0.3</v>
      </c>
      <c r="G6" s="12">
        <f>F6*'20_Maschinen_Stundensaetze'!$E$13</f>
        <v/>
      </c>
      <c r="H6" s="13" t="inlineStr">
        <is>
          <t>Standardfall</t>
        </is>
      </c>
    </row>
    <row r="7">
      <c r="A7" s="9" t="inlineStr">
        <is>
          <t>groß</t>
        </is>
      </c>
      <c r="B7" s="9" t="inlineStr">
        <is>
          <t>1.500–2.000 mm</t>
        </is>
      </c>
      <c r="C7" s="9" t="inlineStr">
        <is>
          <t>2–6 mm</t>
        </is>
      </c>
      <c r="D7" s="20" t="n">
        <v>0.45</v>
      </c>
      <c r="E7" s="12">
        <f>D7*'20_Maschinen_Stundensaetze'!$E$13</f>
        <v/>
      </c>
      <c r="F7" s="20" t="n">
        <v>0.45</v>
      </c>
      <c r="G7" s="12">
        <f>F7*'20_Maschinen_Stundensaetze'!$E$13</f>
        <v/>
      </c>
      <c r="H7" s="13" t="inlineStr">
        <is>
          <t>Anlagehilfe nötig</t>
        </is>
      </c>
    </row>
    <row r="8">
      <c r="A8" s="9" t="inlineStr">
        <is>
          <t>sehr groß / 2-Mann</t>
        </is>
      </c>
      <c r="B8" s="9" t="inlineStr">
        <is>
          <t>&gt; 2.000 mm</t>
        </is>
      </c>
      <c r="C8" s="9" t="inlineStr">
        <is>
          <t>3–8 mm</t>
        </is>
      </c>
      <c r="D8" s="20" t="n">
        <v>0.7</v>
      </c>
      <c r="E8" s="12">
        <f>D8*'20_Maschinen_Stundensaetze'!$E$13</f>
        <v/>
      </c>
      <c r="F8" s="20" t="n">
        <v>0.8</v>
      </c>
      <c r="G8" s="12">
        <f>F8*'20_Maschinen_Stundensaetze'!$E$13</f>
        <v/>
      </c>
      <c r="H8" s="13" t="inlineStr">
        <is>
          <t>zwei Bediener, Kosten verdoppeln sich faktisch</t>
        </is>
      </c>
    </row>
    <row r="9">
      <c r="A9" s="9" t="inlineStr">
        <is>
          <t>Sonderfall</t>
        </is>
      </c>
      <c r="B9" s="9" t="inlineStr">
        <is>
          <t>enger Radius / schlecht zugänglich</t>
        </is>
      </c>
      <c r="C9" s="9" t="inlineStr">
        <is>
          <t>beliebig</t>
        </is>
      </c>
      <c r="D9" s="20" t="n">
        <v>0.4</v>
      </c>
      <c r="E9" s="12">
        <f>D9*'20_Maschinen_Stundensaetze'!$E$13</f>
        <v/>
      </c>
      <c r="F9" s="20" t="n">
        <v>0.4</v>
      </c>
      <c r="G9" s="12">
        <f>F9*'20_Maschinen_Stundensaetze'!$E$13</f>
        <v/>
      </c>
      <c r="H9" s="13" t="inlineStr">
        <is>
          <t>Aufschlag 30–60 % auf Standardzeit</t>
        </is>
      </c>
    </row>
    <row r="10">
      <c r="A10" s="9" t="inlineStr">
        <is>
          <t>Hem / Falz</t>
        </is>
      </c>
      <c r="B10" s="9" t="inlineStr">
        <is>
          <t>&lt; 1.000 mm</t>
        </is>
      </c>
      <c r="C10" s="9" t="inlineStr">
        <is>
          <t>1–2 mm</t>
        </is>
      </c>
      <c r="D10" s="20" t="n">
        <v>0.35</v>
      </c>
      <c r="E10" s="12">
        <f>D10*'20_Maschinen_Stundensaetze'!$E$13</f>
        <v/>
      </c>
      <c r="F10" s="20" t="n">
        <v>0.3</v>
      </c>
      <c r="G10" s="12">
        <f>F10*'20_Maschinen_Stundensaetze'!$E$13</f>
        <v/>
      </c>
      <c r="H10" s="13" t="inlineStr">
        <is>
          <t>zwei Arbeitsgänge</t>
        </is>
      </c>
    </row>
    <row r="12">
      <c r="A12" s="7" t="inlineStr">
        <is>
          <t>Ab Losgröße 50–100 sinken die Stückkosten je Biegung praxisüblich um 20–40 % – das entsteht in Costing automatisch durch die Verteilung der Rüstkosten.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4" customWidth="1" min="5" max="5"/>
    <col width="18" customWidth="1" min="6" max="6"/>
    <col width="44" customWidth="1" min="7" max="7"/>
  </cols>
  <sheetData>
    <row r="1">
      <c r="A1" s="1" t="inlineStr">
        <is>
          <t>Benutzerdefinierte Operationen (Register 'Benutzerdefiniert')</t>
        </is>
      </c>
    </row>
    <row r="2">
      <c r="A2" s="7" t="inlineStr">
        <is>
          <t>Kosten ohne Geometriebezug. In der Vorlage an eine Materialklasse oder an 'alle Materialien' hängen.</t>
        </is>
      </c>
    </row>
    <row r="4" ht="30" customHeight="1">
      <c r="A4" s="8" t="inlineStr">
        <is>
          <t>Operation</t>
        </is>
      </c>
      <c r="B4" s="8" t="inlineStr">
        <is>
          <t>Einheit</t>
        </is>
      </c>
      <c r="C4" s="8" t="inlineStr">
        <is>
          <t>min</t>
        </is>
      </c>
      <c r="D4" s="8" t="inlineStr">
        <is>
          <t>max</t>
        </is>
      </c>
      <c r="E4" s="8" t="inlineStr">
        <is>
          <t>Startwert</t>
        </is>
      </c>
      <c r="F4" s="8" t="inlineStr">
        <is>
          <t>Mindestlospreis [€]</t>
        </is>
      </c>
      <c r="G4" s="8" t="inlineStr">
        <is>
          <t>Hinweis</t>
        </is>
      </c>
    </row>
    <row r="5">
      <c r="A5" s="9" t="inlineStr">
        <is>
          <t>Pulverbeschichten</t>
        </is>
      </c>
      <c r="B5" s="9" t="inlineStr">
        <is>
          <t>€/m²</t>
        </is>
      </c>
      <c r="C5" s="11" t="n">
        <v>22</v>
      </c>
      <c r="D5" s="11" t="n">
        <v>35</v>
      </c>
      <c r="E5" s="16" t="n">
        <v>28</v>
      </c>
      <c r="F5" s="11" t="n">
        <v>55</v>
      </c>
      <c r="G5" s="13" t="inlineStr">
        <is>
          <t>RAL-Standard, einfarbig</t>
        </is>
      </c>
    </row>
    <row r="6">
      <c r="A6" s="9" t="inlineStr">
        <is>
          <t>Nasslackieren</t>
        </is>
      </c>
      <c r="B6" s="9" t="inlineStr">
        <is>
          <t>€/m²</t>
        </is>
      </c>
      <c r="C6" s="11" t="n">
        <v>30</v>
      </c>
      <c r="D6" s="11" t="n">
        <v>55</v>
      </c>
      <c r="E6" s="16" t="n">
        <v>40</v>
      </c>
      <c r="F6" s="11" t="n">
        <v>80</v>
      </c>
      <c r="G6" s="13" t="inlineStr">
        <is>
          <t>2K, inkl. Grundierung</t>
        </is>
      </c>
    </row>
    <row r="7">
      <c r="A7" s="9" t="inlineStr">
        <is>
          <t>Eloxieren natur E6/EV1</t>
        </is>
      </c>
      <c r="B7" s="9" t="inlineStr">
        <is>
          <t>€/m²</t>
        </is>
      </c>
      <c r="C7" s="11" t="n">
        <v>25</v>
      </c>
      <c r="D7" s="11" t="n">
        <v>45</v>
      </c>
      <c r="E7" s="16" t="n">
        <v>32</v>
      </c>
      <c r="F7" s="11" t="n">
        <v>60</v>
      </c>
      <c r="G7" s="13" t="inlineStr">
        <is>
          <t>nur Aluminium</t>
        </is>
      </c>
    </row>
    <row r="8">
      <c r="A8" s="9" t="inlineStr">
        <is>
          <t>Verzinken galvanisch</t>
        </is>
      </c>
      <c r="B8" s="9" t="inlineStr">
        <is>
          <t>€/kg</t>
        </is>
      </c>
      <c r="C8" s="11" t="n">
        <v>0.8</v>
      </c>
      <c r="D8" s="11" t="n">
        <v>1.5</v>
      </c>
      <c r="E8" s="16" t="n">
        <v>1.1</v>
      </c>
      <c r="F8" s="11" t="n">
        <v>30</v>
      </c>
      <c r="G8" s="13" t="inlineStr">
        <is>
          <t>blau-/gelbchromatiert</t>
        </is>
      </c>
    </row>
    <row r="9">
      <c r="A9" s="9" t="inlineStr">
        <is>
          <t>Feuerverzinken</t>
        </is>
      </c>
      <c r="B9" s="9" t="inlineStr">
        <is>
          <t>€/kg</t>
        </is>
      </c>
      <c r="C9" s="11" t="n">
        <v>0.55</v>
      </c>
      <c r="D9" s="11" t="n">
        <v>0.95</v>
      </c>
      <c r="E9" s="16" t="n">
        <v>0.75</v>
      </c>
      <c r="F9" s="11" t="n">
        <v>60</v>
      </c>
      <c r="G9" s="13" t="inlineStr">
        <is>
          <t>ab ca. 3 mm Blechdicke</t>
        </is>
      </c>
    </row>
    <row r="10">
      <c r="A10" s="9" t="inlineStr">
        <is>
          <t>Brünieren</t>
        </is>
      </c>
      <c r="B10" s="9" t="inlineStr">
        <is>
          <t>€/kg</t>
        </is>
      </c>
      <c r="C10" s="11" t="n">
        <v>0.6</v>
      </c>
      <c r="D10" s="11" t="n">
        <v>1.1</v>
      </c>
      <c r="E10" s="16" t="n">
        <v>0.85</v>
      </c>
      <c r="F10" s="11" t="n">
        <v>30</v>
      </c>
      <c r="G10" s="13" t="inlineStr"/>
    </row>
    <row r="11">
      <c r="A11" s="9" t="inlineStr">
        <is>
          <t>Entgraten manuell</t>
        </is>
      </c>
      <c r="B11" s="9" t="inlineStr">
        <is>
          <t>€/Teil</t>
        </is>
      </c>
      <c r="C11" s="11" t="n">
        <v>0.45</v>
      </c>
      <c r="D11" s="11" t="n">
        <v>2.75</v>
      </c>
      <c r="E11" s="16" t="n">
        <v>1</v>
      </c>
      <c r="F11" s="11" t="n">
        <v>0</v>
      </c>
      <c r="G11" s="13" t="inlineStr">
        <is>
          <t>0,5–3 min bei 55 €/h</t>
        </is>
      </c>
    </row>
    <row r="12">
      <c r="A12" s="9" t="inlineStr">
        <is>
          <t>Gleitschleifen</t>
        </is>
      </c>
      <c r="B12" s="9" t="inlineStr">
        <is>
          <t>€/kg</t>
        </is>
      </c>
      <c r="C12" s="11" t="n">
        <v>0.8</v>
      </c>
      <c r="D12" s="11" t="n">
        <v>1.6</v>
      </c>
      <c r="E12" s="16" t="n">
        <v>1.1</v>
      </c>
      <c r="F12" s="11" t="n">
        <v>40</v>
      </c>
      <c r="G12" s="13" t="inlineStr">
        <is>
          <t>Serienteile</t>
        </is>
      </c>
    </row>
    <row r="13">
      <c r="A13" s="9" t="inlineStr">
        <is>
          <t>Gewinde M4–M12 schneiden</t>
        </is>
      </c>
      <c r="B13" s="9" t="inlineStr">
        <is>
          <t>€/Gewinde</t>
        </is>
      </c>
      <c r="C13" s="11" t="n">
        <v>0.1</v>
      </c>
      <c r="D13" s="11" t="n">
        <v>0.3</v>
      </c>
      <c r="E13" s="16" t="n">
        <v>0.18</v>
      </c>
      <c r="F13" s="11" t="n">
        <v>0</v>
      </c>
      <c r="G13" s="13" t="inlineStr">
        <is>
          <t>auf der Maschine</t>
        </is>
      </c>
    </row>
    <row r="14">
      <c r="A14" s="9" t="inlineStr">
        <is>
          <t>Senkung</t>
        </is>
      </c>
      <c r="B14" s="9" t="inlineStr">
        <is>
          <t>€/Senkung</t>
        </is>
      </c>
      <c r="C14" s="11" t="n">
        <v>0.05</v>
      </c>
      <c r="D14" s="11" t="n">
        <v>0.12</v>
      </c>
      <c r="E14" s="16" t="n">
        <v>0.08</v>
      </c>
      <c r="F14" s="11" t="n">
        <v>0</v>
      </c>
      <c r="G14" s="13" t="inlineStr"/>
    </row>
    <row r="15">
      <c r="A15" s="9" t="inlineStr">
        <is>
          <t>Einpressmutter/-bolzen setzen</t>
        </is>
      </c>
      <c r="B15" s="9" t="inlineStr">
        <is>
          <t>€/Stück</t>
        </is>
      </c>
      <c r="C15" s="11" t="n">
        <v>0.25</v>
      </c>
      <c r="D15" s="11" t="n">
        <v>0.55</v>
      </c>
      <c r="E15" s="16" t="n">
        <v>0.4</v>
      </c>
      <c r="F15" s="11" t="n">
        <v>0</v>
      </c>
      <c r="G15" s="13" t="inlineStr">
        <is>
          <t>inkl. Normteil</t>
        </is>
      </c>
    </row>
    <row r="16">
      <c r="A16" s="9" t="inlineStr">
        <is>
          <t>Lasergravur / Beschriftung</t>
        </is>
      </c>
      <c r="B16" s="9" t="inlineStr">
        <is>
          <t>€/Teil</t>
        </is>
      </c>
      <c r="C16" s="11" t="n">
        <v>0.5</v>
      </c>
      <c r="D16" s="11" t="n">
        <v>2</v>
      </c>
      <c r="E16" s="16" t="n">
        <v>1</v>
      </c>
      <c r="F16" s="11" t="n">
        <v>0</v>
      </c>
      <c r="G16" s="13" t="inlineStr">
        <is>
          <t>Typenschildinhalt</t>
        </is>
      </c>
    </row>
    <row r="17">
      <c r="A17" s="9" t="inlineStr">
        <is>
          <t>Wärmebehandlung Vergüten</t>
        </is>
      </c>
      <c r="B17" s="9" t="inlineStr">
        <is>
          <t>€/kg</t>
        </is>
      </c>
      <c r="C17" s="11" t="n">
        <v>1.2</v>
      </c>
      <c r="D17" s="11" t="n">
        <v>2.5</v>
      </c>
      <c r="E17" s="16" t="n">
        <v>1.7</v>
      </c>
      <c r="F17" s="11" t="n">
        <v>80</v>
      </c>
      <c r="G17" s="13" t="inlineStr"/>
    </row>
    <row r="18">
      <c r="A18" s="9" t="inlineStr">
        <is>
          <t>Erstmusterprüfbericht (EMPB)</t>
        </is>
      </c>
      <c r="B18" s="9" t="inlineStr">
        <is>
          <t>€/Los</t>
        </is>
      </c>
      <c r="C18" s="11" t="n">
        <v>60</v>
      </c>
      <c r="D18" s="11" t="n">
        <v>150</v>
      </c>
      <c r="E18" s="16" t="n">
        <v>95</v>
      </c>
      <c r="F18" s="11" t="n">
        <v>0</v>
      </c>
      <c r="G18" s="13" t="inlineStr">
        <is>
          <t>nur bei Erstteil</t>
        </is>
      </c>
    </row>
    <row r="19">
      <c r="A19" s="9" t="inlineStr">
        <is>
          <t>Endprüfung / Messprotokoll</t>
        </is>
      </c>
      <c r="B19" s="9" t="inlineStr">
        <is>
          <t>€/Teil</t>
        </is>
      </c>
      <c r="C19" s="11" t="n">
        <v>2</v>
      </c>
      <c r="D19" s="11" t="n">
        <v>8</v>
      </c>
      <c r="E19" s="16" t="n">
        <v>4</v>
      </c>
      <c r="F19" s="11" t="n">
        <v>0</v>
      </c>
      <c r="G19" s="13" t="inlineStr">
        <is>
          <t>abhängig von Merkmalanzahl</t>
        </is>
      </c>
    </row>
    <row r="20">
      <c r="A20" s="9" t="inlineStr">
        <is>
          <t>Verpackung</t>
        </is>
      </c>
      <c r="B20" s="9" t="inlineStr">
        <is>
          <t>€/Teil</t>
        </is>
      </c>
      <c r="C20" s="11" t="n">
        <v>1.5</v>
      </c>
      <c r="D20" s="11" t="n">
        <v>6</v>
      </c>
      <c r="E20" s="16" t="n">
        <v>2.5</v>
      </c>
      <c r="F20" s="11" t="n">
        <v>0</v>
      </c>
      <c r="G20" s="13" t="inlineStr">
        <is>
          <t>Kartonage/Palette</t>
        </is>
      </c>
    </row>
    <row r="22">
      <c r="A22" s="7" t="inlineStr">
        <is>
          <t>Oberflächenkosten je m² rechnet Costing über die vom Modell erkannte Oberfläche – Mindestlospreise sind in Costing nicht direkt abbildbar und gehören in den Aufschlag oder ins Angebot.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60" customWidth="1" min="4" max="4"/>
  </cols>
  <sheetData>
    <row r="1">
      <c r="A1" s="1" t="inlineStr">
        <is>
          <t>Aufschläge und Kalkulationszuschläge</t>
        </is>
      </c>
    </row>
    <row r="2">
      <c r="A2" s="7" t="inlineStr">
        <is>
          <t>In Costing im Task-Fenster je Teil als Aufschlag (positiv) bzw. Rabatt (negativ) gesetzt.</t>
        </is>
      </c>
    </row>
    <row r="4" ht="30" customHeight="1">
      <c r="A4" s="8" t="inlineStr">
        <is>
          <t>Position</t>
        </is>
      </c>
      <c r="B4" s="8" t="inlineStr">
        <is>
          <t>Wert</t>
        </is>
      </c>
      <c r="C4" s="8" t="inlineStr">
        <is>
          <t>Bezug</t>
        </is>
      </c>
      <c r="D4" s="8" t="inlineStr">
        <is>
          <t>Hinweis</t>
        </is>
      </c>
    </row>
    <row r="5">
      <c r="A5" s="9" t="inlineStr">
        <is>
          <t>Ausschuss / Nacharbeit</t>
        </is>
      </c>
      <c r="B5" s="21" t="n">
        <v>0.02</v>
      </c>
      <c r="C5" s="9" t="inlineStr">
        <is>
          <t>auf Herstellkosten</t>
        </is>
      </c>
      <c r="D5" s="13" t="inlineStr">
        <is>
          <t>1–3 %, je nach Prozessstabilität</t>
        </is>
      </c>
    </row>
    <row r="6">
      <c r="A6" s="9" t="inlineStr">
        <is>
          <t>Werkzeugverschleiß</t>
        </is>
      </c>
      <c r="B6" s="21" t="n">
        <v>0</v>
      </c>
      <c r="C6" s="9" t="inlineStr">
        <is>
          <t>im Stundensatz enthalten</t>
        </is>
      </c>
      <c r="D6" s="13" t="inlineStr">
        <is>
          <t>nicht doppelt aufschlagen</t>
        </is>
      </c>
    </row>
    <row r="7">
      <c r="A7" s="9" t="inlineStr">
        <is>
          <t>Verwaltungs-/Vertriebsgemeinkosten</t>
        </is>
      </c>
      <c r="B7" s="21" t="n">
        <v>0.12</v>
      </c>
      <c r="C7" s="9" t="inlineStr">
        <is>
          <t>auf Herstellkosten</t>
        </is>
      </c>
      <c r="D7" s="13" t="inlineStr">
        <is>
          <t>8–15 % je nach Overhead</t>
        </is>
      </c>
    </row>
    <row r="8">
      <c r="A8" s="9" t="inlineStr">
        <is>
          <t>Gewinn Einzelteil/Prototyp</t>
        </is>
      </c>
      <c r="B8" s="21" t="n">
        <v>0.14</v>
      </c>
      <c r="C8" s="9" t="inlineStr">
        <is>
          <t>auf Selbstkosten</t>
        </is>
      </c>
      <c r="D8" s="13" t="inlineStr">
        <is>
          <t>12–15 %</t>
        </is>
      </c>
    </row>
    <row r="9">
      <c r="A9" s="9" t="inlineStr">
        <is>
          <t>Gewinn Serie</t>
        </is>
      </c>
      <c r="B9" s="21" t="n">
        <v>0.06</v>
      </c>
      <c r="C9" s="9" t="inlineStr">
        <is>
          <t>auf Selbstkosten</t>
        </is>
      </c>
      <c r="D9" s="13" t="inlineStr">
        <is>
          <t>5–8 %</t>
        </is>
      </c>
    </row>
    <row r="10">
      <c r="A10" s="9" t="inlineStr">
        <is>
          <t>Materialteuerungszuschlag</t>
        </is>
      </c>
      <c r="B10" s="21" t="n">
        <v>0.03</v>
      </c>
      <c r="C10" s="9" t="inlineStr">
        <is>
          <t>auf Materialkosten</t>
        </is>
      </c>
      <c r="D10" s="13" t="inlineStr">
        <is>
          <t>nur bei langen Angebotsbindungen</t>
        </is>
      </c>
    </row>
    <row r="11">
      <c r="A11" s="9" t="inlineStr">
        <is>
          <t>Mengenrabatt ab 100 Stück</t>
        </is>
      </c>
      <c r="B11" s="21" t="n">
        <v>-0.08</v>
      </c>
      <c r="C11" s="9" t="inlineStr">
        <is>
          <t>auf Gesamtkosten</t>
        </is>
      </c>
      <c r="D11" s="13" t="inlineStr">
        <is>
          <t>als negativer Aufschlag eintragen</t>
        </is>
      </c>
    </row>
    <row r="13">
      <c r="A13" s="3" t="inlineStr">
        <is>
          <t>Beispielrechnung Einzelteil</t>
        </is>
      </c>
    </row>
    <row r="14">
      <c r="A14" s="9" t="inlineStr">
        <is>
          <t>Herstellkosten (aus Costing)</t>
        </is>
      </c>
      <c r="B14" s="11" t="n">
        <v>100</v>
      </c>
    </row>
    <row r="15">
      <c r="A15" s="9" t="inlineStr">
        <is>
          <t>+ Ausschuss</t>
        </is>
      </c>
      <c r="B15" s="12">
        <f>B14*B5</f>
        <v/>
      </c>
    </row>
    <row r="16">
      <c r="A16" s="9" t="inlineStr">
        <is>
          <t>+ Verwaltung / Vertrieb</t>
        </is>
      </c>
      <c r="B16" s="12">
        <f>B14*B7</f>
        <v/>
      </c>
    </row>
    <row r="17">
      <c r="A17" s="22">
        <f> Selbstkosten</f>
        <v/>
      </c>
      <c r="B17" s="23">
        <f>SUM(B14:B16)</f>
        <v/>
      </c>
    </row>
    <row r="18">
      <c r="A18" s="9" t="inlineStr">
        <is>
          <t>+ Gewinn Einzelteil</t>
        </is>
      </c>
      <c r="B18" s="12">
        <f>B17*B8</f>
        <v/>
      </c>
    </row>
    <row r="19">
      <c r="A19" s="22">
        <f> Angebotspreis</f>
        <v/>
      </c>
      <c r="B19" s="23">
        <f>B17+B18</f>
        <v/>
      </c>
    </row>
    <row r="21">
      <c r="A21" s="7" t="inlineStr">
        <is>
          <t>Die Beispielrechnung zeigt die Reihenfolge – Costing selbst liefert die Herstellkosten in B14.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2026-08-13T06:15:33Z</dcterms:created>
  <dcterms:modified xsi:type="dcterms:W3CDTF">2026-08-13T06:15:33Z</dcterms:modified>
</cp:coreProperties>
</file>